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ajat\Docs\"/>
    </mc:Choice>
  </mc:AlternateContent>
  <xr:revisionPtr revIDLastSave="0" documentId="13_ncr:1_{12E6C979-4CED-4B2D-8BC8-F3746BBF8755}" xr6:coauthVersionLast="47" xr6:coauthVersionMax="47" xr10:uidLastSave="{00000000-0000-0000-0000-000000000000}"/>
  <bookViews>
    <workbookView xWindow="3075" yWindow="3075" windowWidth="28800" windowHeight="11295" tabRatio="500" activeTab="1" xr2:uid="{00000000-000D-0000-FFFF-FFFF00000000}"/>
  </bookViews>
  <sheets>
    <sheet name="لوحة المتابعة" sheetId="1" r:id="rId1"/>
    <sheet name="الأنشطة" sheetId="2" r:id="rId2"/>
    <sheet name="المؤشرات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3" l="1"/>
  <c r="I23" i="3"/>
  <c r="L22" i="3"/>
  <c r="I22" i="3"/>
  <c r="L21" i="3"/>
  <c r="I21" i="3"/>
  <c r="L20" i="3"/>
  <c r="I20" i="3"/>
  <c r="L19" i="3"/>
  <c r="I19" i="3"/>
  <c r="L18" i="3"/>
  <c r="I18" i="3"/>
  <c r="L17" i="3"/>
  <c r="G17" i="3"/>
  <c r="I17" i="3" s="1"/>
  <c r="L16" i="3"/>
  <c r="I16" i="3"/>
  <c r="L15" i="3"/>
  <c r="I15" i="3"/>
  <c r="L14" i="3"/>
  <c r="I14" i="3"/>
  <c r="L13" i="3"/>
  <c r="I13" i="3"/>
  <c r="L12" i="3"/>
  <c r="I12" i="3"/>
  <c r="L11" i="3"/>
  <c r="I11" i="3"/>
  <c r="L10" i="3"/>
  <c r="I10" i="3"/>
  <c r="L9" i="3"/>
  <c r="I9" i="3"/>
  <c r="L8" i="3"/>
  <c r="E10" i="1" s="1"/>
  <c r="I8" i="3"/>
  <c r="L7" i="3"/>
  <c r="I7" i="3"/>
  <c r="L6" i="3"/>
  <c r="I6" i="3"/>
  <c r="L5" i="3"/>
  <c r="I5" i="3"/>
  <c r="L4" i="3"/>
  <c r="I4" i="3"/>
  <c r="L3" i="3"/>
  <c r="I3" i="3"/>
  <c r="L2" i="3"/>
  <c r="I2" i="3"/>
  <c r="E4" i="1"/>
  <c r="D4" i="1"/>
  <c r="C4" i="1"/>
  <c r="B4" i="1"/>
  <c r="C10" i="1" l="1"/>
  <c r="B10" i="1"/>
  <c r="D10" i="1"/>
  <c r="D7" i="1"/>
  <c r="C7" i="1"/>
  <c r="B7" i="1"/>
  <c r="E7" i="1"/>
</calcChain>
</file>

<file path=xl/sharedStrings.xml><?xml version="1.0" encoding="utf-8"?>
<sst xmlns="http://schemas.openxmlformats.org/spreadsheetml/2006/main" count="279" uniqueCount="152">
  <si>
    <t>م</t>
  </si>
  <si>
    <t>النشاط</t>
  </si>
  <si>
    <t>المحور</t>
  </si>
  <si>
    <t>يخدم</t>
  </si>
  <si>
    <t>المسؤول</t>
  </si>
  <si>
    <t>التوقيت</t>
  </si>
  <si>
    <t>الحالة</t>
  </si>
  <si>
    <t>ملاحظات</t>
  </si>
  <si>
    <t xml:space="preserve">تقارير شهرية عن الإنماء المهني وعدد الساعات موثقة بالصور والفيديوهات </t>
  </si>
  <si>
    <t>الفصل الأول</t>
  </si>
  <si>
    <t>المعلمين</t>
  </si>
  <si>
    <t>قسم التدريب -متابعة إدارة الأنشطة التربوية</t>
  </si>
  <si>
    <t>بداية من سبتمبر وحتي نهاية الفصل الدراسي</t>
  </si>
  <si>
    <t>جارٍ</t>
  </si>
  <si>
    <t>مثال: حدّث الحالة من القائمة المنسدلة</t>
  </si>
  <si>
    <t>تقارير شهرية عن الحلقات الصباحية ودليل الإنجاز</t>
  </si>
  <si>
    <t>الطلاب</t>
  </si>
  <si>
    <t>المشرف الفني-متابعة إدارة الأنشطة التربوية</t>
  </si>
  <si>
    <t>بداية من 16سبتمبر وحتي نهاية الفصل الدراسي</t>
  </si>
  <si>
    <t>لم يبدأ</t>
  </si>
  <si>
    <t xml:space="preserve">تقارير شهرية عن التقوية المسائية </t>
  </si>
  <si>
    <t>مشرف النشاط-متابعة إدارة الأنشطة التربوية</t>
  </si>
  <si>
    <t xml:space="preserve">تقارير شهرية عن الإندية المسائية </t>
  </si>
  <si>
    <t>تقارير شهرية عن أنشطة القيادة والفرق المدرسية الطلابية</t>
  </si>
  <si>
    <t>مشرف النشاط -الإدارة المدرسية</t>
  </si>
  <si>
    <t>تقارير شهرية عن العمل التطوعي داخليا وخارجيا</t>
  </si>
  <si>
    <t>المشرف التربوي  -الإدارة المدرسية</t>
  </si>
  <si>
    <t>تقارير شهرية عن برامج الموهوبين</t>
  </si>
  <si>
    <t xml:space="preserve">تقارير شهرية عن برامج قيم ومهارات الحياة </t>
  </si>
  <si>
    <t xml:space="preserve">تقارير شهرية عن برامج ومشاريع الإنضباط المدرسي </t>
  </si>
  <si>
    <t>تقارير شهرية عن برامج نشر ثقافة الحوكمة</t>
  </si>
  <si>
    <t>الطلاب - معلمين</t>
  </si>
  <si>
    <t>تقارير شهرية عن برامج اكتشاف القيادات (طلاب - معلمين - اداريين)</t>
  </si>
  <si>
    <t>طلاب - معلمين - اداريين</t>
  </si>
  <si>
    <t>تقارير شهرية عن برامج اللقاءات والمحاضرات والندوات للتواصل مع الطلاب وضبط المفاهيم</t>
  </si>
  <si>
    <t>تقارير شهرية عن برامج التواصل مع مجلس الأباء وتنقيذهم لمشاريع خدمية طلابية</t>
  </si>
  <si>
    <t>مكتب الخدمة الإجتماعية -الإدارة المدرسية</t>
  </si>
  <si>
    <t>تقارير شهرية عن أنشطة الفرق المدرسية (معلمين )( التغيير - التدريب - التدخل السريع ..</t>
  </si>
  <si>
    <t xml:space="preserve">تفعيل لوحة المؤشرات والتنبيهات </t>
  </si>
  <si>
    <t>الكل</t>
  </si>
  <si>
    <t>بداية من اكتوبر وحتي نهاية الفصل الدراسي</t>
  </si>
  <si>
    <t>التقييم البعدي الأول لسلم المهارات</t>
  </si>
  <si>
    <t>جلسات إرشاد لجميع طلبة الصف الخامس</t>
  </si>
  <si>
    <t>الفصل الثاني</t>
  </si>
  <si>
    <t>ابريل - مايو 2027</t>
  </si>
  <si>
    <t>جلسات إرشاد لجميع طلبة الصف التاسع</t>
  </si>
  <si>
    <t>ابريل - مايو 2028</t>
  </si>
  <si>
    <t>جلسات إرشاد لجميع طلبة الصف الثاني عشر</t>
  </si>
  <si>
    <t>ابريل - مايو 2029</t>
  </si>
  <si>
    <t>مشروع النجاة للابتكار والخدمة للصف الثاني عشر (تنفيذ وعرض ختامي)</t>
  </si>
  <si>
    <t>ابريل - مايو 2030</t>
  </si>
  <si>
    <t>معارض المشروعات وفعاليات مشاركة الأسر (فعالية لكل مدرسة)</t>
  </si>
  <si>
    <t>المتابعة المركزية</t>
  </si>
  <si>
    <t>مايو2026</t>
  </si>
  <si>
    <t>القياس البعدي الختامي والتقرير السنوي وورشة الدروس المستفادة ومدخلات خطة 2027-2028</t>
  </si>
  <si>
    <t>مايو2027</t>
  </si>
  <si>
    <t>لوحة متابعة الخطة التشغيلية 2026-2027 — مشروع مدارس النجاة ثنائية القدرات والمهارات</t>
  </si>
  <si>
    <t>الأنشطة (22 نشاطاً)</t>
  </si>
  <si>
    <t>منجز</t>
  </si>
  <si>
    <t>متأخر</t>
  </si>
  <si>
    <t>المؤشرات — حالة الفصل الأول</t>
  </si>
  <si>
    <t>محقق</t>
  </si>
  <si>
    <t>انحراف</t>
  </si>
  <si>
    <t>انحراف حرج</t>
  </si>
  <si>
    <t>لم يُقس بعد</t>
  </si>
  <si>
    <t>المؤشرات — الحالة النهائية</t>
  </si>
  <si>
    <t>دليل الاستخدام: الخلايا الصفراء هي خلايا الإدخال (خط الأساس، القيم الفعلية، الحالات)؛ الحالات تُختار من قوائم منسدلة؛ وكل ما عداها يُحتسب آلياً. الأرقام في هذه اللوحة تتحدث تلقائياً من الأوراق الأخرى.</t>
  </si>
  <si>
    <t>الرمز</t>
  </si>
  <si>
    <t>المؤشر</t>
  </si>
  <si>
    <t>م النشاط</t>
  </si>
  <si>
    <t>الدورية</t>
  </si>
  <si>
    <t>خط الأساس</t>
  </si>
  <si>
    <t>مستهدف الفصل الأول</t>
  </si>
  <si>
    <t>فعلي الفصل الأول</t>
  </si>
  <si>
    <t>حالة الفصل الأول</t>
  </si>
  <si>
    <t>مستهدف نهاية العام</t>
  </si>
  <si>
    <t>فعلي نهاية العام</t>
  </si>
  <si>
    <t>الحالة النهائية</t>
  </si>
  <si>
    <t>KPI-01</t>
  </si>
  <si>
    <t>نسبة تقارير الإنماء المهني الشهرية المرفوعة في موعدها موثقة بالصور والفيديوهات</t>
  </si>
  <si>
    <t>قسم التدريب</t>
  </si>
  <si>
    <t>شهري</t>
  </si>
  <si>
    <t>من إجمالي التقارير المستحقة — يرتبط بهدف الخطة 3.2 (إتمام التدريب ≥90%)</t>
  </si>
  <si>
    <t>KPI-02</t>
  </si>
  <si>
    <t>نسبة التقارير الشهرية المرفوعة عن الحلقات الصباحية مع دليل الإنجاز</t>
  </si>
  <si>
    <t>المشرف الفني</t>
  </si>
  <si>
    <t>من إجمالي التقارير المستحقة منذ 16 سبتمبر</t>
  </si>
  <si>
    <t>KPI-03</t>
  </si>
  <si>
    <t>نسبة التقارير الشهرية المرفوعة في موعدها عن التقوية المسائية</t>
  </si>
  <si>
    <t>مشرف النشاط</t>
  </si>
  <si>
    <t>KPI-04</t>
  </si>
  <si>
    <t>نسبة التقارير الشهرية المرفوعة في موعدها عن الأندية المسائية</t>
  </si>
  <si>
    <t>يرتبط بهدف الخطة 7.2 (نادٍ مسائي واحد على الأقل)</t>
  </si>
  <si>
    <t>KPI-05</t>
  </si>
  <si>
    <t>نسبة الطلبة المشاركين في أدوار قيادية وفرق مدرسية طلابية موثقة</t>
  </si>
  <si>
    <t>فصلي</t>
  </si>
  <si>
    <t>مستهدف الخطة 2.2: ≥50% نهاية العام و3 فرق طلابية على الأقل</t>
  </si>
  <si>
    <t>KPI-06</t>
  </si>
  <si>
    <t>نسبة الطلبة المشاركين في العمل التطوعي داخلياً وخارجياً</t>
  </si>
  <si>
    <t>المشرف التربوي</t>
  </si>
  <si>
    <t>مستهدف الخطة 2.4: ≥30% و50 مستفيداً مجتمعياً على الأقل</t>
  </si>
  <si>
    <t>KPI-07</t>
  </si>
  <si>
    <t>نسبة الطلبة الموهوبين المستفيدين من برنامجين على الأقل</t>
  </si>
  <si>
    <t>مستهدف الخطة 2.3: ≥95%</t>
  </si>
  <si>
    <t>KPI-08</t>
  </si>
  <si>
    <t>نسبة الطلبة بأدلة أداء متقنة في برامج القيم ومهارات الحياة</t>
  </si>
  <si>
    <t>مستهدف الخطة 2.5: ≥80% و5 مشروعات قيم ومهارات حياة</t>
  </si>
  <si>
    <t>KPI-09</t>
  </si>
  <si>
    <t>نسبة تنفيذ برامج ومشروعات الانضباط المدرسي المخططة</t>
  </si>
  <si>
    <t>الخطة 2.5: ثمانية مشروعات انضباط وانخفاض المخالفات 40%</t>
  </si>
  <si>
    <t>KPI-10</t>
  </si>
  <si>
    <t>نسبة تنفيذ برامج نشر ثقافة الحوكمة وآلياتها المخططة</t>
  </si>
  <si>
    <t>نصف سنوي</t>
  </si>
  <si>
    <t>الخطة 4.3: برنامج حوكمة سنوياً وتطبيق 3 آليات على الأقل</t>
  </si>
  <si>
    <t>KPI-11</t>
  </si>
  <si>
    <t>نسبة المرشحين الملتحقين ببرامج اكتشاف القيادات (طلاب - معلمون - إداريون)</t>
  </si>
  <si>
    <t>الخطة 4.1: معلمون مؤهلون للقيادة ≥20% سنوياً</t>
  </si>
  <si>
    <t>KPI-12</t>
  </si>
  <si>
    <t>نسبة تنفيذ اللقاءات والمحاضرات والندوات المخطط لها لضبط المفاهيم</t>
  </si>
  <si>
    <t>يرتبط بهدف الخطة 5.1 (قنوات تواصل فعالة)</t>
  </si>
  <si>
    <t>KPI-13</t>
  </si>
  <si>
    <t>نسبة تنفيذ المشاريع الخدمية الطلابية التي يقودها مجلس الآباء</t>
  </si>
  <si>
    <t>مكتب الخدمة الاجتماعية</t>
  </si>
  <si>
    <t>الخطة 5.3: مشروع واحد على الأقل يقوده المجلس ومشاركة أعضاء ≥70%</t>
  </si>
  <si>
    <t>KPI-14</t>
  </si>
  <si>
    <t>نسبة المعلمين المشاركين في الفرق المدرسية (التغيير - التدريب - التدخل السريع)</t>
  </si>
  <si>
    <t>الخطة 3.1: مشاركة المعلمين في الفرق ≥90%</t>
  </si>
  <si>
    <t>KPI-15</t>
  </si>
  <si>
    <t>نسبة التحديث الشهري للوحة المؤشرات والتنبيهات منذ تفعيلها</t>
  </si>
  <si>
    <t>التفعيل بداية من أكتوبر</t>
  </si>
  <si>
    <t>KPI-16</t>
  </si>
  <si>
    <t>نسبة الطلبة عند مستوى متقن فأعلى في سلم المهارات (التقييم البعدي الأول)</t>
  </si>
  <si>
    <t>مستهدف الفصل الأول = خط الأساس + 15 نقطة — الخطة 2.1: ≥75% نهاية العام</t>
  </si>
  <si>
    <t>KPI-17</t>
  </si>
  <si>
    <t>نسبة طلبة الصف الخامس المستفيدين من جلسات الإرشاد وخطط الانتقال</t>
  </si>
  <si>
    <t>سنوي</t>
  </si>
  <si>
    <t>يُقاس نهاية العام فقط (أبريل - مايو) — الخطة 2.3: ≥90%</t>
  </si>
  <si>
    <t>KPI-18</t>
  </si>
  <si>
    <t>نسبة طلبة الصف التاسع المستفيدين من جلسات الإرشاد وخطط الانتقال</t>
  </si>
  <si>
    <t>يُقاس نهاية العام فقط — الخطة 2.3: ≥90%</t>
  </si>
  <si>
    <t>KPI-19</t>
  </si>
  <si>
    <t>نسبة طلبة الثاني عشر المستفيدين من جلسات الإرشاد واكتمال ملفات الجاهزية</t>
  </si>
  <si>
    <t>يُقاس نهاية العام فقط — الخطة 2.3: ملفات جاهزية ≥90%</t>
  </si>
  <si>
    <t>KPI-20</t>
  </si>
  <si>
    <t>نسبة تنفيذ مراحل مشروع النجاة للابتكار والخدمة للصف الثاني عشر</t>
  </si>
  <si>
    <t>يُقاس نهاية العام (تنفيذ وعرض ختامي) — الخطة 1.6: تنفيذ المراحل 100% واكتمال التوثيق ≥90%</t>
  </si>
  <si>
    <t>KPI-21</t>
  </si>
  <si>
    <t>نسبة المدارس المنفذة لمعرض مشروعات وفعالية مشاركة للأسر</t>
  </si>
  <si>
    <t>فعالية لكل مدرسة (17 مدرسة) — الخطة 5.1: حضور أولياء الأمور ≥60%</t>
  </si>
  <si>
    <t>KPI-22</t>
  </si>
  <si>
    <t>نسبة اكتمال القياس البعدي الختامي والتقرير السنوي وورشة الدروس المستفادة</t>
  </si>
  <si>
    <t>تشمل مدخلات خطة 2027-2028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</si>
</sst>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4"/>
      <color rgb="FF1F3864"/>
      <name val="Tajawal"/>
    </font>
    <font>
      <sz val="11"/>
      <color theme="1"/>
      <name val="Tajawal"/>
    </font>
    <font>
      <b/>
      <sz val="11"/>
      <color rgb="FFFFFFFF"/>
      <name val="Tajawal"/>
    </font>
    <font>
      <b/>
      <sz val="10"/>
      <color rgb="FF1F3864"/>
      <name val="Tajawal"/>
    </font>
    <font>
      <b/>
      <sz val="12"/>
      <name val="Tajawal"/>
    </font>
    <font>
      <i/>
      <sz val="10"/>
      <color rgb="FF555555"/>
      <name val="Tajawal"/>
    </font>
    <font>
      <sz val="10"/>
      <name val="Tajawal"/>
    </font>
    <font>
      <b/>
      <sz val="10"/>
      <name val="Tajawal"/>
    </font>
    <font>
      <b/>
      <sz val="16"/>
      <color rgb="FFFFFFFF"/>
      <name val="Tajawal"/>
      <charset val="178"/>
    </font>
    <font>
      <b/>
      <sz val="16"/>
      <name val="Tajawal"/>
      <charset val="178"/>
    </font>
    <font>
      <b/>
      <sz val="16"/>
      <color theme="1"/>
      <name val="Tajawal"/>
      <charset val="178"/>
    </font>
    <font>
      <b/>
      <sz val="11"/>
      <color rgb="FFFFFFFF"/>
      <name val="Tajawal"/>
      <charset val="178"/>
    </font>
    <font>
      <b/>
      <sz val="10"/>
      <name val="Tajawal"/>
      <charset val="178"/>
    </font>
    <font>
      <b/>
      <sz val="11"/>
      <color theme="1"/>
      <name val="Tajawal"/>
      <charset val="178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4EF"/>
        <bgColor rgb="FFE2F0E5"/>
      </patternFill>
    </fill>
    <fill>
      <patternFill patternType="solid">
        <fgColor rgb="FFFFF2CC"/>
        <bgColor rgb="FFFCEDDC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0" fontId="8" fillId="4" borderId="1" xfId="0" applyFont="1" applyFill="1" applyBorder="1" applyAlignment="1">
      <alignment horizontal="center" vertical="center" wrapText="1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right" vertical="center" wrapText="1" readingOrder="2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right" vertical="center" wrapText="1" readingOrder="2"/>
    </xf>
    <xf numFmtId="0" fontId="6" fillId="0" borderId="0" xfId="0" applyFont="1" applyAlignment="1">
      <alignment horizontal="right" vertical="center" wrapText="1" readingOrder="2"/>
    </xf>
    <xf numFmtId="17" fontId="13" fillId="0" borderId="1" xfId="0" applyNumberFormat="1" applyFont="1" applyBorder="1" applyAlignment="1">
      <alignment horizontal="center" vertical="center" wrapText="1" readingOrder="2"/>
    </xf>
    <xf numFmtId="0" fontId="3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9" fontId="7" fillId="6" borderId="2" xfId="0" applyNumberFormat="1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right" vertical="center" wrapText="1" readingOrder="2"/>
    </xf>
  </cellXfs>
  <cellStyles count="1">
    <cellStyle name="Normal" xfId="0" builtinId="0"/>
  </cellStyles>
  <dxfs count="6">
    <dxf>
      <font>
        <b/>
        <sz val="10"/>
        <color rgb="FF922B21"/>
        <name val="Arial"/>
      </font>
      <fill>
        <patternFill>
          <bgColor rgb="FFFADBD8"/>
        </patternFill>
      </fill>
    </dxf>
    <dxf>
      <font>
        <b/>
        <sz val="10"/>
        <color rgb="FF922B21"/>
        <name val="Arial"/>
      </font>
      <fill>
        <patternFill>
          <bgColor rgb="FFFADBD8"/>
        </patternFill>
      </fill>
    </dxf>
    <dxf>
      <font>
        <b/>
        <sz val="10"/>
        <color rgb="FF9A6400"/>
        <name val="Arial"/>
      </font>
      <fill>
        <patternFill>
          <bgColor rgb="FFFCEDDC"/>
        </patternFill>
      </fill>
    </dxf>
    <dxf>
      <font>
        <b/>
        <sz val="10"/>
        <color rgb="FF1F3864"/>
        <name val="Arial"/>
      </font>
      <fill>
        <patternFill>
          <bgColor rgb="FFE3EBF6"/>
        </patternFill>
      </fill>
    </dxf>
    <dxf>
      <font>
        <b/>
        <sz val="10"/>
        <color rgb="FF1B5E20"/>
        <name val="Arial"/>
      </font>
      <fill>
        <patternFill>
          <bgColor rgb="FFE2F0E5"/>
        </patternFill>
      </fill>
    </dxf>
    <dxf>
      <font>
        <b/>
        <sz val="10"/>
        <color rgb="FF1B5E20"/>
        <name val="Arial"/>
      </font>
      <fill>
        <patternFill>
          <bgColor rgb="FFE2F0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9A6400"/>
      <rgbColor rgb="FF800080"/>
      <rgbColor rgb="FF008080"/>
      <rgbColor rgb="FFBFBFBF"/>
      <rgbColor rgb="FF808080"/>
      <rgbColor rgb="FF9999FF"/>
      <rgbColor rgb="FF993366"/>
      <rgbColor rgb="FFFFF2CC"/>
      <rgbColor rgb="FFE3EB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EF"/>
      <rgbColor rgb="FFE2F0E5"/>
      <rgbColor rgb="FFFCEDD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22B2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rightToLeft="1" zoomScaleNormal="100" workbookViewId="0">
      <selection activeCell="C34" sqref="C34"/>
    </sheetView>
  </sheetViews>
  <sheetFormatPr defaultColWidth="8.7109375" defaultRowHeight="14.25"/>
  <cols>
    <col min="1" max="1" width="34" style="1" customWidth="1"/>
    <col min="2" max="5" width="14" style="1" customWidth="1"/>
    <col min="6" max="6" width="8.7109375" style="1" customWidth="1"/>
    <col min="7" max="16384" width="8.7109375" style="1"/>
  </cols>
  <sheetData>
    <row r="1" spans="1:5" ht="18" customHeight="1">
      <c r="A1" s="26" t="s">
        <v>56</v>
      </c>
      <c r="B1" s="25"/>
      <c r="C1" s="25"/>
      <c r="D1" s="25"/>
      <c r="E1" s="25"/>
    </row>
    <row r="3" spans="1:5" ht="15" customHeight="1">
      <c r="A3" s="2" t="s">
        <v>57</v>
      </c>
      <c r="B3" s="3" t="s">
        <v>58</v>
      </c>
      <c r="C3" s="3" t="s">
        <v>13</v>
      </c>
      <c r="D3" s="3" t="s">
        <v>19</v>
      </c>
      <c r="E3" s="3" t="s">
        <v>59</v>
      </c>
    </row>
    <row r="4" spans="1:5" ht="15.75" customHeight="1">
      <c r="A4" s="4"/>
      <c r="B4" s="5">
        <f>COUNTIF(الأنشطة!$G$2:$G$31,"منجز")</f>
        <v>0</v>
      </c>
      <c r="C4" s="5">
        <f>COUNTIF(الأنشطة!$G$2:$G$31,"جارٍ")</f>
        <v>1</v>
      </c>
      <c r="D4" s="5">
        <f>COUNTIF(الأنشطة!$G$2:$G$31,"لم يبدأ")</f>
        <v>21</v>
      </c>
      <c r="E4" s="5">
        <f>COUNTIF(الأنشطة!$G$2:$G$31,"متأخر")</f>
        <v>0</v>
      </c>
    </row>
    <row r="6" spans="1:5" ht="15" customHeight="1">
      <c r="A6" s="2" t="s">
        <v>60</v>
      </c>
      <c r="B6" s="3" t="s">
        <v>61</v>
      </c>
      <c r="C6" s="3" t="s">
        <v>62</v>
      </c>
      <c r="D6" s="3" t="s">
        <v>63</v>
      </c>
      <c r="E6" s="3" t="s">
        <v>64</v>
      </c>
    </row>
    <row r="7" spans="1:5" ht="15.75" customHeight="1">
      <c r="A7" s="4"/>
      <c r="B7" s="5">
        <f>COUNTIF(المؤشرات!$I$2:$I$23,"محقق")</f>
        <v>0</v>
      </c>
      <c r="C7" s="5">
        <f>COUNTIF(المؤشرات!$I$2:$I$23,"انحراف")</f>
        <v>0</v>
      </c>
      <c r="D7" s="5">
        <f>COUNTIF(المؤشرات!$I$2:$I$23,"انحراف حرج")</f>
        <v>0</v>
      </c>
      <c r="E7" s="5">
        <f>COUNTIF(المؤشرات!$I$2:$I$23,"لم يُقس بعد")</f>
        <v>15</v>
      </c>
    </row>
    <row r="9" spans="1:5" ht="15" customHeight="1">
      <c r="A9" s="2" t="s">
        <v>65</v>
      </c>
      <c r="B9" s="3" t="s">
        <v>61</v>
      </c>
      <c r="C9" s="3" t="s">
        <v>62</v>
      </c>
      <c r="D9" s="3" t="s">
        <v>63</v>
      </c>
      <c r="E9" s="3" t="s">
        <v>64</v>
      </c>
    </row>
    <row r="10" spans="1:5" ht="15.75" customHeight="1">
      <c r="A10" s="4"/>
      <c r="B10" s="5">
        <f>COUNTIF(المؤشرات!$L$2:$L$23,"محقق")</f>
        <v>0</v>
      </c>
      <c r="C10" s="5">
        <f>COUNTIF(المؤشرات!$L$2:$L$23,"انحراف")</f>
        <v>0</v>
      </c>
      <c r="D10" s="5">
        <f>COUNTIF(المؤشرات!$L$2:$L$23,"انحراف حرج")</f>
        <v>0</v>
      </c>
      <c r="E10" s="5">
        <f>COUNTIF(المؤشرات!$L$2:$L$23,"لم يُقس بعد")</f>
        <v>22</v>
      </c>
    </row>
    <row r="12" spans="1:5" ht="15" customHeight="1">
      <c r="A12" s="17" t="s">
        <v>66</v>
      </c>
    </row>
    <row r="13" spans="1:5" ht="15.75" customHeight="1"/>
    <row r="15" spans="1:5" ht="15" customHeight="1"/>
    <row r="16" spans="1:5" ht="15.75" customHeight="1"/>
    <row r="18" spans="1:5">
      <c r="A18" s="25"/>
      <c r="B18" s="25"/>
      <c r="C18" s="25"/>
      <c r="D18" s="25"/>
      <c r="E18" s="25"/>
    </row>
    <row r="19" spans="1:5">
      <c r="A19" s="25"/>
      <c r="B19" s="25"/>
      <c r="C19" s="25"/>
      <c r="D19" s="25"/>
      <c r="E19" s="25"/>
    </row>
  </sheetData>
  <mergeCells count="2">
    <mergeCell ref="A18:E19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rightToLeft="1" tabSelected="1" zoomScaleNormal="100" workbookViewId="0">
      <pane ySplit="1" topLeftCell="A2" activePane="bottomLeft" state="frozen"/>
      <selection pane="bottomLeft" activeCell="C17" sqref="C17"/>
    </sheetView>
  </sheetViews>
  <sheetFormatPr defaultColWidth="8.7109375" defaultRowHeight="20.25"/>
  <cols>
    <col min="1" max="1" width="5" style="1" customWidth="1"/>
    <col min="2" max="2" width="97.85546875" style="11" customWidth="1"/>
    <col min="3" max="3" width="12" style="14" customWidth="1"/>
    <col min="4" max="4" width="18" style="15" customWidth="1"/>
    <col min="5" max="5" width="28.85546875" style="14" customWidth="1"/>
    <col min="6" max="6" width="31.28515625" style="14" customWidth="1"/>
    <col min="7" max="7" width="13" style="1" customWidth="1"/>
    <col min="8" max="8" width="30" style="1" customWidth="1"/>
    <col min="9" max="9" width="8.7109375" style="1" customWidth="1"/>
    <col min="10" max="16384" width="8.7109375" style="1"/>
  </cols>
  <sheetData>
    <row r="1" spans="1:8" ht="27.75" customHeight="1">
      <c r="A1" s="2" t="s">
        <v>0</v>
      </c>
      <c r="B1" s="9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2" t="s">
        <v>6</v>
      </c>
      <c r="H1" s="2" t="s">
        <v>7</v>
      </c>
    </row>
    <row r="2" spans="1:8" ht="30" customHeight="1">
      <c r="A2" s="6">
        <v>1</v>
      </c>
      <c r="B2" s="10" t="s">
        <v>8</v>
      </c>
      <c r="C2" s="13" t="s">
        <v>9</v>
      </c>
      <c r="D2" s="13" t="s">
        <v>10</v>
      </c>
      <c r="E2" s="16" t="s">
        <v>11</v>
      </c>
      <c r="F2" s="13" t="s">
        <v>12</v>
      </c>
      <c r="G2" s="8" t="s">
        <v>13</v>
      </c>
      <c r="H2" s="7" t="s">
        <v>14</v>
      </c>
    </row>
    <row r="3" spans="1:8" ht="30" customHeight="1">
      <c r="A3" s="6">
        <v>2</v>
      </c>
      <c r="B3" s="10" t="s">
        <v>15</v>
      </c>
      <c r="C3" s="13" t="s">
        <v>9</v>
      </c>
      <c r="D3" s="13" t="s">
        <v>16</v>
      </c>
      <c r="E3" s="16" t="s">
        <v>17</v>
      </c>
      <c r="F3" s="13" t="s">
        <v>18</v>
      </c>
      <c r="G3" s="8" t="s">
        <v>19</v>
      </c>
      <c r="H3" s="7"/>
    </row>
    <row r="4" spans="1:8" ht="30" customHeight="1">
      <c r="A4" s="6">
        <v>3</v>
      </c>
      <c r="B4" s="10" t="s">
        <v>20</v>
      </c>
      <c r="C4" s="13" t="s">
        <v>9</v>
      </c>
      <c r="D4" s="13" t="s">
        <v>16</v>
      </c>
      <c r="E4" s="16" t="s">
        <v>21</v>
      </c>
      <c r="F4" s="13" t="s">
        <v>18</v>
      </c>
      <c r="G4" s="8" t="s">
        <v>19</v>
      </c>
      <c r="H4" s="7"/>
    </row>
    <row r="5" spans="1:8" ht="30" customHeight="1">
      <c r="A5" s="6">
        <v>4</v>
      </c>
      <c r="B5" s="10" t="s">
        <v>22</v>
      </c>
      <c r="C5" s="13" t="s">
        <v>9</v>
      </c>
      <c r="D5" s="13" t="s">
        <v>16</v>
      </c>
      <c r="E5" s="16" t="s">
        <v>21</v>
      </c>
      <c r="F5" s="13" t="s">
        <v>18</v>
      </c>
      <c r="G5" s="8" t="s">
        <v>19</v>
      </c>
      <c r="H5" s="7"/>
    </row>
    <row r="6" spans="1:8" ht="30" customHeight="1">
      <c r="A6" s="6">
        <v>5</v>
      </c>
      <c r="B6" s="10" t="s">
        <v>23</v>
      </c>
      <c r="C6" s="13" t="s">
        <v>9</v>
      </c>
      <c r="D6" s="13" t="s">
        <v>16</v>
      </c>
      <c r="E6" s="16" t="s">
        <v>24</v>
      </c>
      <c r="F6" s="13" t="s">
        <v>18</v>
      </c>
      <c r="G6" s="8" t="s">
        <v>19</v>
      </c>
      <c r="H6" s="7"/>
    </row>
    <row r="7" spans="1:8" ht="30" customHeight="1">
      <c r="A7" s="6">
        <v>6</v>
      </c>
      <c r="B7" s="10" t="s">
        <v>25</v>
      </c>
      <c r="C7" s="13" t="s">
        <v>9</v>
      </c>
      <c r="D7" s="13" t="s">
        <v>16</v>
      </c>
      <c r="E7" s="16" t="s">
        <v>26</v>
      </c>
      <c r="F7" s="13" t="s">
        <v>18</v>
      </c>
      <c r="G7" s="8" t="s">
        <v>19</v>
      </c>
      <c r="H7" s="7"/>
    </row>
    <row r="8" spans="1:8" ht="30" customHeight="1">
      <c r="A8" s="6">
        <v>7</v>
      </c>
      <c r="B8" s="10" t="s">
        <v>27</v>
      </c>
      <c r="C8" s="13" t="s">
        <v>9</v>
      </c>
      <c r="D8" s="13" t="s">
        <v>16</v>
      </c>
      <c r="E8" s="16" t="s">
        <v>26</v>
      </c>
      <c r="F8" s="13" t="s">
        <v>18</v>
      </c>
      <c r="G8" s="8" t="s">
        <v>19</v>
      </c>
      <c r="H8" s="7"/>
    </row>
    <row r="9" spans="1:8" ht="30" customHeight="1">
      <c r="A9" s="6">
        <v>8</v>
      </c>
      <c r="B9" s="10" t="s">
        <v>28</v>
      </c>
      <c r="C9" s="13" t="s">
        <v>9</v>
      </c>
      <c r="D9" s="13" t="s">
        <v>16</v>
      </c>
      <c r="E9" s="16" t="s">
        <v>26</v>
      </c>
      <c r="F9" s="13" t="s">
        <v>18</v>
      </c>
      <c r="G9" s="8" t="s">
        <v>19</v>
      </c>
      <c r="H9" s="7"/>
    </row>
    <row r="10" spans="1:8" ht="30" customHeight="1">
      <c r="A10" s="6">
        <v>9</v>
      </c>
      <c r="B10" s="10" t="s">
        <v>29</v>
      </c>
      <c r="C10" s="13" t="s">
        <v>9</v>
      </c>
      <c r="D10" s="13" t="s">
        <v>16</v>
      </c>
      <c r="E10" s="16" t="s">
        <v>26</v>
      </c>
      <c r="F10" s="13" t="s">
        <v>18</v>
      </c>
      <c r="G10" s="8" t="s">
        <v>19</v>
      </c>
      <c r="H10" s="7"/>
    </row>
    <row r="11" spans="1:8" ht="30" customHeight="1">
      <c r="A11" s="6">
        <v>10</v>
      </c>
      <c r="B11" s="10" t="s">
        <v>30</v>
      </c>
      <c r="C11" s="13" t="s">
        <v>9</v>
      </c>
      <c r="D11" s="13" t="s">
        <v>31</v>
      </c>
      <c r="E11" s="16" t="s">
        <v>26</v>
      </c>
      <c r="F11" s="13" t="s">
        <v>18</v>
      </c>
      <c r="G11" s="8" t="s">
        <v>19</v>
      </c>
      <c r="H11" s="7"/>
    </row>
    <row r="12" spans="1:8" ht="30" customHeight="1">
      <c r="A12" s="6">
        <v>11</v>
      </c>
      <c r="B12" s="10" t="s">
        <v>32</v>
      </c>
      <c r="C12" s="13" t="s">
        <v>9</v>
      </c>
      <c r="D12" s="13" t="s">
        <v>33</v>
      </c>
      <c r="E12" s="16" t="s">
        <v>26</v>
      </c>
      <c r="F12" s="13" t="s">
        <v>18</v>
      </c>
      <c r="G12" s="8" t="s">
        <v>19</v>
      </c>
      <c r="H12" s="7"/>
    </row>
    <row r="13" spans="1:8" ht="30" customHeight="1">
      <c r="A13" s="6">
        <v>12</v>
      </c>
      <c r="B13" s="10" t="s">
        <v>34</v>
      </c>
      <c r="C13" s="13" t="s">
        <v>9</v>
      </c>
      <c r="D13" s="13" t="s">
        <v>16</v>
      </c>
      <c r="E13" s="16" t="s">
        <v>26</v>
      </c>
      <c r="F13" s="13" t="s">
        <v>18</v>
      </c>
      <c r="G13" s="8" t="s">
        <v>19</v>
      </c>
      <c r="H13" s="7"/>
    </row>
    <row r="14" spans="1:8" ht="30" customHeight="1">
      <c r="A14" s="6">
        <v>13</v>
      </c>
      <c r="B14" s="10" t="s">
        <v>35</v>
      </c>
      <c r="C14" s="13" t="s">
        <v>9</v>
      </c>
      <c r="D14" s="13" t="s">
        <v>16</v>
      </c>
      <c r="E14" s="16" t="s">
        <v>36</v>
      </c>
      <c r="F14" s="13" t="s">
        <v>18</v>
      </c>
      <c r="G14" s="8" t="s">
        <v>19</v>
      </c>
      <c r="H14" s="7"/>
    </row>
    <row r="15" spans="1:8" ht="30" customHeight="1">
      <c r="A15" s="6">
        <v>14</v>
      </c>
      <c r="B15" s="10" t="s">
        <v>37</v>
      </c>
      <c r="C15" s="13" t="s">
        <v>9</v>
      </c>
      <c r="D15" s="13" t="s">
        <v>16</v>
      </c>
      <c r="E15" s="16" t="s">
        <v>36</v>
      </c>
      <c r="F15" s="13" t="s">
        <v>18</v>
      </c>
      <c r="G15" s="8" t="s">
        <v>19</v>
      </c>
      <c r="H15" s="7"/>
    </row>
    <row r="16" spans="1:8" ht="30" customHeight="1">
      <c r="A16" s="6">
        <v>15</v>
      </c>
      <c r="B16" s="10" t="s">
        <v>38</v>
      </c>
      <c r="C16" s="13" t="s">
        <v>9</v>
      </c>
      <c r="D16" s="13" t="s">
        <v>39</v>
      </c>
      <c r="E16" s="16" t="s">
        <v>26</v>
      </c>
      <c r="F16" s="13" t="s">
        <v>40</v>
      </c>
      <c r="G16" s="8" t="s">
        <v>19</v>
      </c>
      <c r="H16" s="7"/>
    </row>
    <row r="17" spans="1:8" ht="30" customHeight="1">
      <c r="A17" s="6">
        <v>16</v>
      </c>
      <c r="B17" s="10" t="s">
        <v>41</v>
      </c>
      <c r="C17" s="13" t="s">
        <v>9</v>
      </c>
      <c r="D17" s="13" t="s">
        <v>16</v>
      </c>
      <c r="E17" s="16" t="s">
        <v>36</v>
      </c>
      <c r="F17" s="18">
        <v>46357</v>
      </c>
      <c r="G17" s="8" t="s">
        <v>19</v>
      </c>
      <c r="H17" s="7"/>
    </row>
    <row r="18" spans="1:8" ht="30" customHeight="1">
      <c r="A18" s="6">
        <v>17</v>
      </c>
      <c r="B18" s="10" t="s">
        <v>42</v>
      </c>
      <c r="C18" s="13" t="s">
        <v>43</v>
      </c>
      <c r="D18" s="13" t="s">
        <v>16</v>
      </c>
      <c r="E18" s="16" t="s">
        <v>36</v>
      </c>
      <c r="F18" s="13" t="s">
        <v>44</v>
      </c>
      <c r="G18" s="8" t="s">
        <v>19</v>
      </c>
      <c r="H18" s="7"/>
    </row>
    <row r="19" spans="1:8" ht="30" customHeight="1">
      <c r="A19" s="6">
        <v>18</v>
      </c>
      <c r="B19" s="10" t="s">
        <v>45</v>
      </c>
      <c r="C19" s="13" t="s">
        <v>43</v>
      </c>
      <c r="D19" s="13" t="s">
        <v>16</v>
      </c>
      <c r="E19" s="16" t="s">
        <v>36</v>
      </c>
      <c r="F19" s="13" t="s">
        <v>46</v>
      </c>
      <c r="G19" s="8" t="s">
        <v>19</v>
      </c>
      <c r="H19" s="7"/>
    </row>
    <row r="20" spans="1:8" ht="30" customHeight="1">
      <c r="A20" s="6">
        <v>19</v>
      </c>
      <c r="B20" s="10" t="s">
        <v>47</v>
      </c>
      <c r="C20" s="13" t="s">
        <v>43</v>
      </c>
      <c r="D20" s="13" t="s">
        <v>16</v>
      </c>
      <c r="E20" s="16" t="s">
        <v>36</v>
      </c>
      <c r="F20" s="13" t="s">
        <v>48</v>
      </c>
      <c r="G20" s="8" t="s">
        <v>19</v>
      </c>
      <c r="H20" s="7"/>
    </row>
    <row r="21" spans="1:8" ht="30" customHeight="1">
      <c r="A21" s="6">
        <v>20</v>
      </c>
      <c r="B21" s="10" t="s">
        <v>49</v>
      </c>
      <c r="C21" s="13" t="s">
        <v>43</v>
      </c>
      <c r="D21" s="13" t="s">
        <v>16</v>
      </c>
      <c r="E21" s="16" t="s">
        <v>36</v>
      </c>
      <c r="F21" s="13" t="s">
        <v>50</v>
      </c>
      <c r="G21" s="8" t="s">
        <v>19</v>
      </c>
      <c r="H21" s="7"/>
    </row>
    <row r="22" spans="1:8" ht="30" customHeight="1">
      <c r="A22" s="6">
        <v>21</v>
      </c>
      <c r="B22" s="10" t="s">
        <v>51</v>
      </c>
      <c r="C22" s="13" t="s">
        <v>43</v>
      </c>
      <c r="D22" s="13" t="s">
        <v>52</v>
      </c>
      <c r="E22" s="16" t="s">
        <v>26</v>
      </c>
      <c r="F22" s="18" t="s">
        <v>53</v>
      </c>
      <c r="G22" s="8" t="s">
        <v>19</v>
      </c>
      <c r="H22" s="7"/>
    </row>
    <row r="23" spans="1:8" ht="30" customHeight="1">
      <c r="A23" s="6">
        <v>22</v>
      </c>
      <c r="B23" s="10" t="s">
        <v>54</v>
      </c>
      <c r="C23" s="13" t="s">
        <v>43</v>
      </c>
      <c r="D23" s="13" t="s">
        <v>52</v>
      </c>
      <c r="E23" s="16" t="s">
        <v>26</v>
      </c>
      <c r="F23" s="18" t="s">
        <v>55</v>
      </c>
      <c r="G23" s="8" t="s">
        <v>19</v>
      </c>
      <c r="H23" s="7"/>
    </row>
    <row r="24" spans="1:8" ht="30" customHeight="1">
      <c r="A24" s="6">
        <v>23</v>
      </c>
      <c r="G24" s="8"/>
      <c r="H24" s="7"/>
    </row>
    <row r="25" spans="1:8" ht="30" customHeight="1">
      <c r="A25" s="6">
        <v>24</v>
      </c>
      <c r="G25" s="8"/>
      <c r="H25" s="7"/>
    </row>
    <row r="26" spans="1:8" ht="30" customHeight="1">
      <c r="A26" s="6">
        <v>25</v>
      </c>
      <c r="G26" s="8"/>
      <c r="H26" s="7"/>
    </row>
    <row r="27" spans="1:8" ht="30" customHeight="1">
      <c r="A27" s="6">
        <v>26</v>
      </c>
      <c r="G27" s="8"/>
      <c r="H27" s="7"/>
    </row>
    <row r="28" spans="1:8" ht="30" customHeight="1">
      <c r="A28" s="6">
        <v>27</v>
      </c>
      <c r="C28" s="13"/>
      <c r="D28" s="13"/>
      <c r="E28" s="16"/>
      <c r="F28" s="13"/>
      <c r="G28" s="8"/>
      <c r="H28" s="7"/>
    </row>
    <row r="29" spans="1:8" ht="30" customHeight="1">
      <c r="A29" s="6">
        <v>28</v>
      </c>
      <c r="C29" s="13"/>
      <c r="D29" s="13"/>
      <c r="E29" s="16"/>
      <c r="F29" s="13"/>
      <c r="G29" s="8"/>
      <c r="H29" s="7"/>
    </row>
    <row r="30" spans="1:8" ht="30" customHeight="1">
      <c r="A30" s="6">
        <v>29</v>
      </c>
      <c r="B30" s="10"/>
      <c r="C30" s="13"/>
      <c r="D30" s="13"/>
      <c r="E30" s="16"/>
      <c r="F30" s="13"/>
      <c r="G30" s="8"/>
      <c r="H30" s="7"/>
    </row>
    <row r="31" spans="1:8" ht="30" customHeight="1">
      <c r="A31" s="6">
        <v>30</v>
      </c>
      <c r="G31" s="8"/>
      <c r="H31" s="7"/>
    </row>
  </sheetData>
  <conditionalFormatting sqref="G2:G31">
    <cfRule type="cellIs" dxfId="5" priority="2" operator="equal">
      <formula>"محقق"</formula>
    </cfRule>
    <cfRule type="cellIs" dxfId="4" priority="3" operator="equal">
      <formula>"منجز"</formula>
    </cfRule>
    <cfRule type="cellIs" dxfId="3" priority="4" operator="equal">
      <formula>"جارٍ"</formula>
    </cfRule>
    <cfRule type="cellIs" dxfId="2" priority="5" operator="equal">
      <formula>"انحراف"</formula>
    </cfRule>
    <cfRule type="cellIs" dxfId="1" priority="6" operator="equal">
      <formula>"انحراف حرج"</formula>
    </cfRule>
    <cfRule type="cellIs" dxfId="0" priority="7" operator="equal">
      <formula>"متأخر"</formula>
    </cfRule>
  </conditionalFormatting>
  <dataValidations count="1">
    <dataValidation type="list" allowBlank="1" sqref="G2:G31" xr:uid="{00000000-0002-0000-0100-000000000000}">
      <formula1>"لم يبدأ,جارٍ,منجز,متأخر"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rightToLeft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/>
  <cols>
    <col min="1" max="1" width="9" customWidth="1"/>
    <col min="2" max="2" width="46" customWidth="1"/>
    <col min="3" max="3" width="9" customWidth="1"/>
    <col min="4" max="4" width="22" customWidth="1"/>
    <col min="5" max="6" width="11" customWidth="1"/>
    <col min="7" max="8" width="12" customWidth="1"/>
    <col min="9" max="9" width="13" customWidth="1"/>
    <col min="10" max="11" width="12" customWidth="1"/>
    <col min="12" max="12" width="13" customWidth="1"/>
    <col min="13" max="13" width="28" customWidth="1"/>
  </cols>
  <sheetData>
    <row r="1" spans="1:13" ht="27.75" customHeight="1">
      <c r="A1" s="19" t="s">
        <v>67</v>
      </c>
      <c r="B1" s="19" t="s">
        <v>68</v>
      </c>
      <c r="C1" s="19" t="s">
        <v>69</v>
      </c>
      <c r="D1" s="19" t="s">
        <v>4</v>
      </c>
      <c r="E1" s="19" t="s">
        <v>70</v>
      </c>
      <c r="F1" s="19" t="s">
        <v>71</v>
      </c>
      <c r="G1" s="19" t="s">
        <v>72</v>
      </c>
      <c r="H1" s="19" t="s">
        <v>73</v>
      </c>
      <c r="I1" s="19" t="s">
        <v>74</v>
      </c>
      <c r="J1" s="19" t="s">
        <v>75</v>
      </c>
      <c r="K1" s="19" t="s">
        <v>76</v>
      </c>
      <c r="L1" s="19" t="s">
        <v>77</v>
      </c>
      <c r="M1" s="19" t="s">
        <v>7</v>
      </c>
    </row>
    <row r="2" spans="1:13" ht="30" customHeight="1">
      <c r="A2" s="20" t="s">
        <v>78</v>
      </c>
      <c r="B2" s="21" t="s">
        <v>79</v>
      </c>
      <c r="C2" s="22">
        <v>1</v>
      </c>
      <c r="D2" s="21" t="s">
        <v>80</v>
      </c>
      <c r="E2" s="22" t="s">
        <v>81</v>
      </c>
      <c r="F2" s="23"/>
      <c r="G2" s="24">
        <v>1</v>
      </c>
      <c r="H2" s="23"/>
      <c r="I2" s="20" t="str">
        <f t="shared" ref="I2:I23" si="0">IF(G2="","—",IF(H2="","لم يُقس بعد",IF(H2&gt;=G2,"محقق",IF(G2-H2&gt;0.1,"انحراف حرج","انحراف"))))</f>
        <v>لم يُقس بعد</v>
      </c>
      <c r="J2" s="24">
        <v>1</v>
      </c>
      <c r="K2" s="23"/>
      <c r="L2" s="20" t="str">
        <f t="shared" ref="L2:L23" si="1">IF(K2="","لم يُقس بعد",IF(K2&gt;=J2,"محقق",IF(J2-K2&gt;0.1,"انحراف حرج","انحراف")))</f>
        <v>لم يُقس بعد</v>
      </c>
      <c r="M2" s="21" t="s">
        <v>82</v>
      </c>
    </row>
    <row r="3" spans="1:13" ht="30" customHeight="1">
      <c r="A3" s="20" t="s">
        <v>83</v>
      </c>
      <c r="B3" s="21" t="s">
        <v>84</v>
      </c>
      <c r="C3" s="22">
        <v>2</v>
      </c>
      <c r="D3" s="21" t="s">
        <v>85</v>
      </c>
      <c r="E3" s="22" t="s">
        <v>81</v>
      </c>
      <c r="F3" s="23"/>
      <c r="G3" s="24">
        <v>1</v>
      </c>
      <c r="H3" s="23"/>
      <c r="I3" s="20" t="str">
        <f t="shared" si="0"/>
        <v>لم يُقس بعد</v>
      </c>
      <c r="J3" s="24">
        <v>1</v>
      </c>
      <c r="K3" s="23"/>
      <c r="L3" s="20" t="str">
        <f t="shared" si="1"/>
        <v>لم يُقس بعد</v>
      </c>
      <c r="M3" s="21" t="s">
        <v>86</v>
      </c>
    </row>
    <row r="4" spans="1:13" ht="30" customHeight="1">
      <c r="A4" s="20" t="s">
        <v>87</v>
      </c>
      <c r="B4" s="21" t="s">
        <v>88</v>
      </c>
      <c r="C4" s="22">
        <v>3</v>
      </c>
      <c r="D4" s="21" t="s">
        <v>89</v>
      </c>
      <c r="E4" s="22" t="s">
        <v>81</v>
      </c>
      <c r="F4" s="23"/>
      <c r="G4" s="24">
        <v>1</v>
      </c>
      <c r="H4" s="23"/>
      <c r="I4" s="20" t="str">
        <f t="shared" si="0"/>
        <v>لم يُقس بعد</v>
      </c>
      <c r="J4" s="24">
        <v>1</v>
      </c>
      <c r="K4" s="23"/>
      <c r="L4" s="20" t="str">
        <f t="shared" si="1"/>
        <v>لم يُقس بعد</v>
      </c>
      <c r="M4" s="21"/>
    </row>
    <row r="5" spans="1:13" ht="30" customHeight="1">
      <c r="A5" s="20" t="s">
        <v>90</v>
      </c>
      <c r="B5" s="21" t="s">
        <v>91</v>
      </c>
      <c r="C5" s="22">
        <v>4</v>
      </c>
      <c r="D5" s="21" t="s">
        <v>89</v>
      </c>
      <c r="E5" s="22" t="s">
        <v>81</v>
      </c>
      <c r="F5" s="23"/>
      <c r="G5" s="24">
        <v>1</v>
      </c>
      <c r="H5" s="23"/>
      <c r="I5" s="20" t="str">
        <f t="shared" si="0"/>
        <v>لم يُقس بعد</v>
      </c>
      <c r="J5" s="24">
        <v>1</v>
      </c>
      <c r="K5" s="23"/>
      <c r="L5" s="20" t="str">
        <f t="shared" si="1"/>
        <v>لم يُقس بعد</v>
      </c>
      <c r="M5" s="21" t="s">
        <v>92</v>
      </c>
    </row>
    <row r="6" spans="1:13" ht="30" customHeight="1">
      <c r="A6" s="20" t="s">
        <v>93</v>
      </c>
      <c r="B6" s="21" t="s">
        <v>94</v>
      </c>
      <c r="C6" s="22">
        <v>5</v>
      </c>
      <c r="D6" s="21" t="s">
        <v>89</v>
      </c>
      <c r="E6" s="22" t="s">
        <v>95</v>
      </c>
      <c r="F6" s="23"/>
      <c r="G6" s="24">
        <v>0.3</v>
      </c>
      <c r="H6" s="23"/>
      <c r="I6" s="20" t="str">
        <f t="shared" si="0"/>
        <v>لم يُقس بعد</v>
      </c>
      <c r="J6" s="24">
        <v>0.5</v>
      </c>
      <c r="K6" s="23"/>
      <c r="L6" s="20" t="str">
        <f t="shared" si="1"/>
        <v>لم يُقس بعد</v>
      </c>
      <c r="M6" s="21" t="s">
        <v>96</v>
      </c>
    </row>
    <row r="7" spans="1:13" ht="30" customHeight="1">
      <c r="A7" s="20" t="s">
        <v>97</v>
      </c>
      <c r="B7" s="21" t="s">
        <v>98</v>
      </c>
      <c r="C7" s="22">
        <v>6</v>
      </c>
      <c r="D7" s="21" t="s">
        <v>99</v>
      </c>
      <c r="E7" s="22" t="s">
        <v>95</v>
      </c>
      <c r="F7" s="23"/>
      <c r="G7" s="24">
        <v>0.15</v>
      </c>
      <c r="H7" s="23"/>
      <c r="I7" s="20" t="str">
        <f t="shared" si="0"/>
        <v>لم يُقس بعد</v>
      </c>
      <c r="J7" s="24">
        <v>0.3</v>
      </c>
      <c r="K7" s="23"/>
      <c r="L7" s="20" t="str">
        <f t="shared" si="1"/>
        <v>لم يُقس بعد</v>
      </c>
      <c r="M7" s="21" t="s">
        <v>100</v>
      </c>
    </row>
    <row r="8" spans="1:13" ht="30" customHeight="1">
      <c r="A8" s="20" t="s">
        <v>101</v>
      </c>
      <c r="B8" s="21" t="s">
        <v>102</v>
      </c>
      <c r="C8" s="22">
        <v>7</v>
      </c>
      <c r="D8" s="21" t="s">
        <v>99</v>
      </c>
      <c r="E8" s="22" t="s">
        <v>95</v>
      </c>
      <c r="F8" s="23"/>
      <c r="G8" s="24">
        <v>0.6</v>
      </c>
      <c r="H8" s="23"/>
      <c r="I8" s="20" t="str">
        <f t="shared" si="0"/>
        <v>لم يُقس بعد</v>
      </c>
      <c r="J8" s="24">
        <v>0.95</v>
      </c>
      <c r="K8" s="23"/>
      <c r="L8" s="20" t="str">
        <f t="shared" si="1"/>
        <v>لم يُقس بعد</v>
      </c>
      <c r="M8" s="21" t="s">
        <v>103</v>
      </c>
    </row>
    <row r="9" spans="1:13" ht="30" customHeight="1">
      <c r="A9" s="20" t="s">
        <v>104</v>
      </c>
      <c r="B9" s="21" t="s">
        <v>105</v>
      </c>
      <c r="C9" s="22">
        <v>8</v>
      </c>
      <c r="D9" s="21" t="s">
        <v>99</v>
      </c>
      <c r="E9" s="22" t="s">
        <v>95</v>
      </c>
      <c r="F9" s="23"/>
      <c r="G9" s="24">
        <v>0.55000000000000004</v>
      </c>
      <c r="H9" s="23"/>
      <c r="I9" s="20" t="str">
        <f t="shared" si="0"/>
        <v>لم يُقس بعد</v>
      </c>
      <c r="J9" s="24">
        <v>0.8</v>
      </c>
      <c r="K9" s="23"/>
      <c r="L9" s="20" t="str">
        <f t="shared" si="1"/>
        <v>لم يُقس بعد</v>
      </c>
      <c r="M9" s="21" t="s">
        <v>106</v>
      </c>
    </row>
    <row r="10" spans="1:13" ht="30" customHeight="1">
      <c r="A10" s="20" t="s">
        <v>107</v>
      </c>
      <c r="B10" s="21" t="s">
        <v>108</v>
      </c>
      <c r="C10" s="22">
        <v>9</v>
      </c>
      <c r="D10" s="21" t="s">
        <v>99</v>
      </c>
      <c r="E10" s="22" t="s">
        <v>95</v>
      </c>
      <c r="F10" s="23"/>
      <c r="G10" s="24">
        <v>0.5</v>
      </c>
      <c r="H10" s="23"/>
      <c r="I10" s="20" t="str">
        <f t="shared" si="0"/>
        <v>لم يُقس بعد</v>
      </c>
      <c r="J10" s="24">
        <v>1</v>
      </c>
      <c r="K10" s="23"/>
      <c r="L10" s="20" t="str">
        <f t="shared" si="1"/>
        <v>لم يُقس بعد</v>
      </c>
      <c r="M10" s="21" t="s">
        <v>109</v>
      </c>
    </row>
    <row r="11" spans="1:13" ht="30" customHeight="1">
      <c r="A11" s="20" t="s">
        <v>110</v>
      </c>
      <c r="B11" s="21" t="s">
        <v>111</v>
      </c>
      <c r="C11" s="22">
        <v>10</v>
      </c>
      <c r="D11" s="21" t="s">
        <v>99</v>
      </c>
      <c r="E11" s="22" t="s">
        <v>112</v>
      </c>
      <c r="F11" s="23"/>
      <c r="G11" s="24">
        <v>0.5</v>
      </c>
      <c r="H11" s="23"/>
      <c r="I11" s="20" t="str">
        <f t="shared" si="0"/>
        <v>لم يُقس بعد</v>
      </c>
      <c r="J11" s="24">
        <v>1</v>
      </c>
      <c r="K11" s="23"/>
      <c r="L11" s="20" t="str">
        <f t="shared" si="1"/>
        <v>لم يُقس بعد</v>
      </c>
      <c r="M11" s="21" t="s">
        <v>113</v>
      </c>
    </row>
    <row r="12" spans="1:13" ht="30" customHeight="1">
      <c r="A12" s="20" t="s">
        <v>114</v>
      </c>
      <c r="B12" s="21" t="s">
        <v>115</v>
      </c>
      <c r="C12" s="22">
        <v>11</v>
      </c>
      <c r="D12" s="21" t="s">
        <v>99</v>
      </c>
      <c r="E12" s="22" t="s">
        <v>95</v>
      </c>
      <c r="F12" s="23"/>
      <c r="G12" s="24">
        <v>0.1</v>
      </c>
      <c r="H12" s="23"/>
      <c r="I12" s="20" t="str">
        <f t="shared" si="0"/>
        <v>لم يُقس بعد</v>
      </c>
      <c r="J12" s="24">
        <v>0.2</v>
      </c>
      <c r="K12" s="23"/>
      <c r="L12" s="20" t="str">
        <f t="shared" si="1"/>
        <v>لم يُقس بعد</v>
      </c>
      <c r="M12" s="21" t="s">
        <v>116</v>
      </c>
    </row>
    <row r="13" spans="1:13" ht="30" customHeight="1">
      <c r="A13" s="20" t="s">
        <v>117</v>
      </c>
      <c r="B13" s="21" t="s">
        <v>118</v>
      </c>
      <c r="C13" s="22">
        <v>12</v>
      </c>
      <c r="D13" s="21" t="s">
        <v>99</v>
      </c>
      <c r="E13" s="22" t="s">
        <v>81</v>
      </c>
      <c r="F13" s="23"/>
      <c r="G13" s="24">
        <v>0.9</v>
      </c>
      <c r="H13" s="23"/>
      <c r="I13" s="20" t="str">
        <f t="shared" si="0"/>
        <v>لم يُقس بعد</v>
      </c>
      <c r="J13" s="24">
        <v>0.9</v>
      </c>
      <c r="K13" s="23"/>
      <c r="L13" s="20" t="str">
        <f t="shared" si="1"/>
        <v>لم يُقس بعد</v>
      </c>
      <c r="M13" s="21" t="s">
        <v>119</v>
      </c>
    </row>
    <row r="14" spans="1:13" ht="30" customHeight="1">
      <c r="A14" s="20" t="s">
        <v>120</v>
      </c>
      <c r="B14" s="21" t="s">
        <v>121</v>
      </c>
      <c r="C14" s="22">
        <v>13</v>
      </c>
      <c r="D14" s="21" t="s">
        <v>122</v>
      </c>
      <c r="E14" s="22" t="s">
        <v>95</v>
      </c>
      <c r="F14" s="23"/>
      <c r="G14" s="24">
        <v>0.5</v>
      </c>
      <c r="H14" s="23"/>
      <c r="I14" s="20" t="str">
        <f t="shared" si="0"/>
        <v>لم يُقس بعد</v>
      </c>
      <c r="J14" s="24">
        <v>1</v>
      </c>
      <c r="K14" s="23"/>
      <c r="L14" s="20" t="str">
        <f t="shared" si="1"/>
        <v>لم يُقس بعد</v>
      </c>
      <c r="M14" s="21" t="s">
        <v>123</v>
      </c>
    </row>
    <row r="15" spans="1:13" ht="30" customHeight="1">
      <c r="A15" s="20" t="s">
        <v>124</v>
      </c>
      <c r="B15" s="21" t="s">
        <v>125</v>
      </c>
      <c r="C15" s="22">
        <v>14</v>
      </c>
      <c r="D15" s="21" t="s">
        <v>122</v>
      </c>
      <c r="E15" s="22" t="s">
        <v>95</v>
      </c>
      <c r="F15" s="23"/>
      <c r="G15" s="24">
        <v>0.6</v>
      </c>
      <c r="H15" s="23"/>
      <c r="I15" s="20" t="str">
        <f t="shared" si="0"/>
        <v>لم يُقس بعد</v>
      </c>
      <c r="J15" s="24">
        <v>0.9</v>
      </c>
      <c r="K15" s="23"/>
      <c r="L15" s="20" t="str">
        <f t="shared" si="1"/>
        <v>لم يُقس بعد</v>
      </c>
      <c r="M15" s="21" t="s">
        <v>126</v>
      </c>
    </row>
    <row r="16" spans="1:13" ht="30" customHeight="1">
      <c r="A16" s="20" t="s">
        <v>127</v>
      </c>
      <c r="B16" s="21" t="s">
        <v>128</v>
      </c>
      <c r="C16" s="22">
        <v>15</v>
      </c>
      <c r="D16" s="21" t="s">
        <v>99</v>
      </c>
      <c r="E16" s="22" t="s">
        <v>81</v>
      </c>
      <c r="F16" s="23"/>
      <c r="G16" s="24">
        <v>1</v>
      </c>
      <c r="H16" s="23"/>
      <c r="I16" s="20" t="str">
        <f t="shared" si="0"/>
        <v>لم يُقس بعد</v>
      </c>
      <c r="J16" s="24">
        <v>1</v>
      </c>
      <c r="K16" s="23"/>
      <c r="L16" s="20" t="str">
        <f t="shared" si="1"/>
        <v>لم يُقس بعد</v>
      </c>
      <c r="M16" s="21" t="s">
        <v>129</v>
      </c>
    </row>
    <row r="17" spans="1:13" ht="30" customHeight="1">
      <c r="A17" s="20" t="s">
        <v>130</v>
      </c>
      <c r="B17" s="21" t="s">
        <v>131</v>
      </c>
      <c r="C17" s="22">
        <v>16</v>
      </c>
      <c r="D17" s="21" t="s">
        <v>122</v>
      </c>
      <c r="E17" s="22" t="s">
        <v>112</v>
      </c>
      <c r="F17" s="23"/>
      <c r="G17" s="24" t="str">
        <f>IF(F17="","",F17+0.15)</f>
        <v/>
      </c>
      <c r="H17" s="23"/>
      <c r="I17" s="20" t="str">
        <f t="shared" si="0"/>
        <v>—</v>
      </c>
      <c r="J17" s="24">
        <v>0.75</v>
      </c>
      <c r="K17" s="23"/>
      <c r="L17" s="20" t="str">
        <f t="shared" si="1"/>
        <v>لم يُقس بعد</v>
      </c>
      <c r="M17" s="21" t="s">
        <v>132</v>
      </c>
    </row>
    <row r="18" spans="1:13" ht="30" customHeight="1">
      <c r="A18" s="20" t="s">
        <v>133</v>
      </c>
      <c r="B18" s="21" t="s">
        <v>134</v>
      </c>
      <c r="C18" s="22">
        <v>17</v>
      </c>
      <c r="D18" s="21" t="s">
        <v>122</v>
      </c>
      <c r="E18" s="22" t="s">
        <v>135</v>
      </c>
      <c r="F18" s="23"/>
      <c r="G18" s="24"/>
      <c r="H18" s="23"/>
      <c r="I18" s="20" t="str">
        <f t="shared" si="0"/>
        <v>—</v>
      </c>
      <c r="J18" s="24">
        <v>0.9</v>
      </c>
      <c r="K18" s="23"/>
      <c r="L18" s="20" t="str">
        <f t="shared" si="1"/>
        <v>لم يُقس بعد</v>
      </c>
      <c r="M18" s="21" t="s">
        <v>136</v>
      </c>
    </row>
    <row r="19" spans="1:13" ht="30" customHeight="1">
      <c r="A19" s="20" t="s">
        <v>137</v>
      </c>
      <c r="B19" s="21" t="s">
        <v>138</v>
      </c>
      <c r="C19" s="22">
        <v>18</v>
      </c>
      <c r="D19" s="21" t="s">
        <v>122</v>
      </c>
      <c r="E19" s="22" t="s">
        <v>135</v>
      </c>
      <c r="F19" s="23"/>
      <c r="G19" s="24"/>
      <c r="H19" s="23"/>
      <c r="I19" s="20" t="str">
        <f t="shared" si="0"/>
        <v>—</v>
      </c>
      <c r="J19" s="24">
        <v>0.9</v>
      </c>
      <c r="K19" s="23"/>
      <c r="L19" s="20" t="str">
        <f t="shared" si="1"/>
        <v>لم يُقس بعد</v>
      </c>
      <c r="M19" s="21" t="s">
        <v>139</v>
      </c>
    </row>
    <row r="20" spans="1:13" ht="30" customHeight="1">
      <c r="A20" s="20" t="s">
        <v>140</v>
      </c>
      <c r="B20" s="21" t="s">
        <v>141</v>
      </c>
      <c r="C20" s="22">
        <v>19</v>
      </c>
      <c r="D20" s="21" t="s">
        <v>122</v>
      </c>
      <c r="E20" s="22" t="s">
        <v>135</v>
      </c>
      <c r="F20" s="23"/>
      <c r="G20" s="24"/>
      <c r="H20" s="23"/>
      <c r="I20" s="20" t="str">
        <f t="shared" si="0"/>
        <v>—</v>
      </c>
      <c r="J20" s="24">
        <v>0.9</v>
      </c>
      <c r="K20" s="23"/>
      <c r="L20" s="20" t="str">
        <f t="shared" si="1"/>
        <v>لم يُقس بعد</v>
      </c>
      <c r="M20" s="21" t="s">
        <v>142</v>
      </c>
    </row>
    <row r="21" spans="1:13" ht="30" customHeight="1">
      <c r="A21" s="20" t="s">
        <v>143</v>
      </c>
      <c r="B21" s="21" t="s">
        <v>144</v>
      </c>
      <c r="C21" s="22">
        <v>20</v>
      </c>
      <c r="D21" s="21" t="s">
        <v>122</v>
      </c>
      <c r="E21" s="22" t="s">
        <v>135</v>
      </c>
      <c r="F21" s="23"/>
      <c r="G21" s="24"/>
      <c r="H21" s="23"/>
      <c r="I21" s="20" t="str">
        <f t="shared" si="0"/>
        <v>—</v>
      </c>
      <c r="J21" s="24">
        <v>1</v>
      </c>
      <c r="K21" s="23"/>
      <c r="L21" s="20" t="str">
        <f t="shared" si="1"/>
        <v>لم يُقس بعد</v>
      </c>
      <c r="M21" s="21" t="s">
        <v>145</v>
      </c>
    </row>
    <row r="22" spans="1:13" ht="30" customHeight="1">
      <c r="A22" s="20" t="s">
        <v>146</v>
      </c>
      <c r="B22" s="21" t="s">
        <v>147</v>
      </c>
      <c r="C22" s="22">
        <v>21</v>
      </c>
      <c r="D22" s="21" t="s">
        <v>99</v>
      </c>
      <c r="E22" s="22" t="s">
        <v>135</v>
      </c>
      <c r="F22" s="23"/>
      <c r="G22" s="24"/>
      <c r="H22" s="23"/>
      <c r="I22" s="20" t="str">
        <f t="shared" si="0"/>
        <v>—</v>
      </c>
      <c r="J22" s="24">
        <v>1</v>
      </c>
      <c r="K22" s="23"/>
      <c r="L22" s="20" t="str">
        <f t="shared" si="1"/>
        <v>لم يُقس بعد</v>
      </c>
      <c r="M22" s="21" t="s">
        <v>148</v>
      </c>
    </row>
    <row r="23" spans="1:13" ht="30" customHeight="1">
      <c r="A23" s="20" t="s">
        <v>149</v>
      </c>
      <c r="B23" s="21" t="s">
        <v>150</v>
      </c>
      <c r="C23" s="22">
        <v>22</v>
      </c>
      <c r="D23" s="21" t="s">
        <v>99</v>
      </c>
      <c r="E23" s="22" t="s">
        <v>135</v>
      </c>
      <c r="F23" s="23"/>
      <c r="G23" s="24"/>
      <c r="H23" s="23"/>
      <c r="I23" s="20" t="str">
        <f t="shared" si="0"/>
        <v>—</v>
      </c>
      <c r="J23" s="24">
        <v>1</v>
      </c>
      <c r="K23" s="23"/>
      <c r="L23" s="20" t="str">
        <f t="shared" si="1"/>
        <v>لم يُقس بعد</v>
      </c>
      <c r="M23" s="2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لوحة المتابعة</vt:lpstr>
      <vt:lpstr>الأنشطة</vt:lpstr>
      <vt:lpstr>المؤشرات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عبدالرحمن رضا</cp:lastModifiedBy>
  <cp:revision>0</cp:revision>
  <dcterms:created xsi:type="dcterms:W3CDTF">2026-08-04T00:10:37Z</dcterms:created>
  <dcterms:modified xsi:type="dcterms:W3CDTF">2026-08-09T15:36:58Z</dcterms:modified>
  <dc:language>en-US</dc:language>
</cp:coreProperties>
</file>