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ulrahman.reda\Downloads\النجاة\"/>
    </mc:Choice>
  </mc:AlternateContent>
  <xr:revisionPtr revIDLastSave="0" documentId="8_{5BC5FD0E-7325-4457-AF54-CFBC232B9112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لوحة المتابعة" sheetId="1" r:id="rId1"/>
    <sheet name="الأنشطة" sheetId="2" r:id="rId2"/>
    <sheet name="المؤشرات" sheetId="3" r:id="rId3"/>
    <sheet name="التبعيات الحرجة" sheetId="4" r:id="rId4"/>
    <sheet name="المخاطر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7" i="3" l="1"/>
  <c r="I27" i="3"/>
  <c r="L26" i="3"/>
  <c r="I26" i="3"/>
  <c r="L25" i="3"/>
  <c r="I25" i="3"/>
  <c r="L24" i="3"/>
  <c r="I24" i="3"/>
  <c r="L23" i="3"/>
  <c r="I23" i="3"/>
  <c r="L22" i="3"/>
  <c r="I22" i="3"/>
  <c r="L21" i="3"/>
  <c r="I21" i="3"/>
  <c r="L20" i="3"/>
  <c r="I20" i="3"/>
  <c r="L19" i="3"/>
  <c r="I19" i="3"/>
  <c r="L18" i="3"/>
  <c r="I18" i="3"/>
  <c r="L17" i="3"/>
  <c r="C10" i="1" s="1"/>
  <c r="I17" i="3"/>
  <c r="L16" i="3"/>
  <c r="I16" i="3"/>
  <c r="L15" i="3"/>
  <c r="I15" i="3"/>
  <c r="L14" i="3"/>
  <c r="I14" i="3"/>
  <c r="L13" i="3"/>
  <c r="I13" i="3"/>
  <c r="L12" i="3"/>
  <c r="I12" i="3"/>
  <c r="L11" i="3"/>
  <c r="I11" i="3"/>
  <c r="L10" i="3"/>
  <c r="I10" i="3"/>
  <c r="L9" i="3"/>
  <c r="I9" i="3"/>
  <c r="L8" i="3"/>
  <c r="I8" i="3"/>
  <c r="L7" i="3"/>
  <c r="G7" i="3"/>
  <c r="I7" i="3" s="1"/>
  <c r="L6" i="3"/>
  <c r="I6" i="3"/>
  <c r="L5" i="3"/>
  <c r="I5" i="3"/>
  <c r="L4" i="3"/>
  <c r="I4" i="3"/>
  <c r="L3" i="3"/>
  <c r="I3" i="3"/>
  <c r="L2" i="3"/>
  <c r="B10" i="1" s="1"/>
  <c r="I2" i="3"/>
  <c r="E16" i="1"/>
  <c r="D16" i="1"/>
  <c r="C16" i="1"/>
  <c r="B16" i="1"/>
  <c r="E13" i="1"/>
  <c r="D13" i="1"/>
  <c r="C13" i="1"/>
  <c r="B13" i="1"/>
  <c r="E4" i="1"/>
  <c r="D4" i="1"/>
  <c r="C4" i="1"/>
  <c r="B4" i="1"/>
  <c r="E7" i="1" l="1"/>
  <c r="E10" i="1"/>
  <c r="D10" i="1"/>
  <c r="B7" i="1"/>
  <c r="C7" i="1"/>
  <c r="D7" i="1"/>
</calcChain>
</file>

<file path=xl/sharedStrings.xml><?xml version="1.0" encoding="utf-8"?>
<sst xmlns="http://schemas.openxmlformats.org/spreadsheetml/2006/main" count="464" uniqueCount="250">
  <si>
    <t>لوحة متابعة الخطة التشغيلية 2026-2027 — مشروع مدارس النجاة ثنائية القدرات والمهارات</t>
  </si>
  <si>
    <t>الأنشطة (30 نشاطاً)</t>
  </si>
  <si>
    <t>منجز</t>
  </si>
  <si>
    <t>جارٍ</t>
  </si>
  <si>
    <t>لم يبدأ</t>
  </si>
  <si>
    <t>متأخر</t>
  </si>
  <si>
    <t>المؤشرات — حالة الفصل الأول</t>
  </si>
  <si>
    <t>محقق</t>
  </si>
  <si>
    <t>انحراف</t>
  </si>
  <si>
    <t>انحراف حرج</t>
  </si>
  <si>
    <t>لم يُقس بعد</t>
  </si>
  <si>
    <t>المؤشرات — الحالة النهائية</t>
  </si>
  <si>
    <t>التبعيات الحرجة (8 مهام)</t>
  </si>
  <si>
    <t>المخاطر (8 مخاطر)</t>
  </si>
  <si>
    <t>مفتوح</t>
  </si>
  <si>
    <t>تحت السيطرة</t>
  </si>
  <si>
    <t>مغلق</t>
  </si>
  <si>
    <t>عالية الدرجة</t>
  </si>
  <si>
    <t>دليل الاستخدام: الخلايا الصفراء هي خلايا الإدخال (خط الأساس، القيم الفعلية، الحالات)؛ الحالات تُختار من قوائم منسدلة؛ وكل ما عداها يُحتسب آلياً. الأرقام في هذه اللوحة تتحدث تلقائياً من الأوراق الأخرى.</t>
  </si>
  <si>
    <t>م</t>
  </si>
  <si>
    <t>النشاط</t>
  </si>
  <si>
    <t>المحور</t>
  </si>
  <si>
    <t>يخدم</t>
  </si>
  <si>
    <t>المسؤول</t>
  </si>
  <si>
    <t>التوقيت</t>
  </si>
  <si>
    <t>الحالة</t>
  </si>
  <si>
    <t>ملاحظات</t>
  </si>
  <si>
    <t>اعتماد حزمة التأسيس (القاموس، المنصة، خارطة الطريق، الأدوات) من لجنة القيادة</t>
  </si>
  <si>
    <t>التهيئة</t>
  </si>
  <si>
    <t>الكل</t>
  </si>
  <si>
    <t>لجنة القيادة</t>
  </si>
  <si>
    <t>أغسطس — الأسبوعان 1-2</t>
  </si>
  <si>
    <t>مثال: حدّث الحالة من القائمة المنسدلة</t>
  </si>
  <si>
    <t>تسمية منسقي المشروع بالمدارس ونائب المنسق المركزي</t>
  </si>
  <si>
    <t>R2</t>
  </si>
  <si>
    <t>أغسطس — الأسبوع 2</t>
  </si>
  <si>
    <t>تعميم الأدوات الخمس المعتمدة على المدارس</t>
  </si>
  <si>
    <t>التبعيات الحرجة</t>
  </si>
  <si>
    <t>المنسق المركزي</t>
  </si>
  <si>
    <t>أغسطس — الأسبوع 3</t>
  </si>
  <si>
    <t>التعاقد على النواة الجاهزة وإطلاق المرحلة الأولى من المنصة واستيراد بيانات الطلبة</t>
  </si>
  <si>
    <t>KPI-08, KPI-24</t>
  </si>
  <si>
    <t>تكنولوجيا المعلومات</t>
  </si>
  <si>
    <t>أغسطس - سبتمبر</t>
  </si>
  <si>
    <t>تنفيذ الدفعة الأولى من الحقيبة التدريبية قبل بدء الدوام</t>
  </si>
  <si>
    <t>KPI-21</t>
  </si>
  <si>
    <t>قسم التدريب</t>
  </si>
  <si>
    <t>أغسطس — الأسبوعان 3-4</t>
  </si>
  <si>
    <t>تعميم سياسة الذكاء الاصطناعي وتنفيذ جلسات التوعية</t>
  </si>
  <si>
    <t>KPI-16</t>
  </si>
  <si>
    <t>منسقو المدارس</t>
  </si>
  <si>
    <t>سبتمبر — الأسبوعان 1-2</t>
  </si>
  <si>
    <t>حصر الشراكات القائمة ومخاطبة شركاء جدد</t>
  </si>
  <si>
    <t>KPI-25</t>
  </si>
  <si>
    <t>إدارة الشراكات</t>
  </si>
  <si>
    <t>سبتمبر</t>
  </si>
  <si>
    <t>القياس القبلي الشامل واعتماد خطوط الأساس</t>
  </si>
  <si>
    <t>الفصل الأول</t>
  </si>
  <si>
    <t>جميع المؤشرات</t>
  </si>
  <si>
    <t>منسقو المدارس + المنسق المركزي</t>
  </si>
  <si>
    <t>الأسابيع 1-4 من الدوام</t>
  </si>
  <si>
    <t>تفعيل إطار القدرات والمهارات في المراحل التجريبية</t>
  </si>
  <si>
    <t>KPI-05</t>
  </si>
  <si>
    <t>الأسابيع 1-6</t>
  </si>
  <si>
    <t>استكمال دفعات التدريب حتى بلوغ 90% من المعلمين</t>
  </si>
  <si>
    <t>حتى الأسبوع 6</t>
  </si>
  <si>
    <t>تعميم الإطار على جميع الصفوف</t>
  </si>
  <si>
    <t>من الأسبوع 7</t>
  </si>
  <si>
    <t>توثيق مهمة تطبيقية واحدة على الأقل لكل طالب</t>
  </si>
  <si>
    <t>KPI-01, KPI-04</t>
  </si>
  <si>
    <t>المعلمون</t>
  </si>
  <si>
    <t>طوال الفصل الأول</t>
  </si>
  <si>
    <t>تطبيق أدوات خرائط الميول للمراحل المستهدفة</t>
  </si>
  <si>
    <t>KPI-11</t>
  </si>
  <si>
    <t>التوجيه والإرشاد</t>
  </si>
  <si>
    <t>أكتوبر - ديسمبر</t>
  </si>
  <si>
    <t>جلسات إرشاد فردية لجميع طلبة الصف التاسع</t>
  </si>
  <si>
    <t>KPI-12</t>
  </si>
  <si>
    <t>فعالية استكشاف مهني أولى لكل مدرسة ثانوية</t>
  </si>
  <si>
    <t>KPI-13, KPI-26</t>
  </si>
  <si>
    <t>إدارة الشراكات + الإرشاد</t>
  </si>
  <si>
    <t>نوفمبر - ديسمبر</t>
  </si>
  <si>
    <t>زيارات متابعة أثر التدريب داخل الصفوف</t>
  </si>
  <si>
    <t>KPI-22, KPI-03</t>
  </si>
  <si>
    <t>مديرو المدارس</t>
  </si>
  <si>
    <t>بعد 6-8 أسابيع من التدريب</t>
  </si>
  <si>
    <t>تفعيل لوحة المؤشرات والتنبيهات (المرحلة الثانية للمنصة)</t>
  </si>
  <si>
    <t>المتابعة المركزية</t>
  </si>
  <si>
    <t>نوفمبر</t>
  </si>
  <si>
    <t>اعتماد خطط المشروع التطبيقي الرئيس لكل مرحلة</t>
  </si>
  <si>
    <t>KPI-07</t>
  </si>
  <si>
    <t>قبل نهاية الفصل الأول</t>
  </si>
  <si>
    <t>التقييم البعدي الأول لسلم المهارات</t>
  </si>
  <si>
    <t>KPI-06, KPI-18</t>
  </si>
  <si>
    <t>نهاية الفصل الأول</t>
  </si>
  <si>
    <t>التقرير الفصلي الأول ومراجعة اللجنة وخطط معالجة الانحرافات</t>
  </si>
  <si>
    <t>الحوكمة</t>
  </si>
  <si>
    <t>المنسق المركزي + اللجنة</t>
  </si>
  <si>
    <t>يناير</t>
  </si>
  <si>
    <t>إطلاق بوابة ولي الأمر وإشعارات الاطلاع</t>
  </si>
  <si>
    <t>الفصل الثاني</t>
  </si>
  <si>
    <t>KPI-24</t>
  </si>
  <si>
    <t>فبراير</t>
  </si>
  <si>
    <t>تنفيذ المشروع الرئيس لكل مرحلة واكتمال توثيقه</t>
  </si>
  <si>
    <t>KPI-07, KPI-08</t>
  </si>
  <si>
    <t>فبراير - مايو</t>
  </si>
  <si>
    <t>مشروع النجاة للابتكار والخدمة للصف الثاني عشر (تنفيذ وعرض ختامي)</t>
  </si>
  <si>
    <t>KPI-10, KPI-14</t>
  </si>
  <si>
    <t>المرحلة الثانوية</t>
  </si>
  <si>
    <t>اكتمال خطط انتقال طلبة الصف التاسع</t>
  </si>
  <si>
    <t>قبل نهاية أبريل</t>
  </si>
  <si>
    <t>اكتمال ملفات الجاهزية الجامعية والمهنية للثاني عشر (4 من 4)</t>
  </si>
  <si>
    <t>KPI-14</t>
  </si>
  <si>
    <t>الإرشاد + الثانوية</t>
  </si>
  <si>
    <t>قبل نهاية مايو</t>
  </si>
  <si>
    <t>فعالية استكشاف مهني ثانية ونشاط شراكة ثانٍ لكل مدرسة</t>
  </si>
  <si>
    <t>فبراير - أبريل</t>
  </si>
  <si>
    <t>مبادرات خدمة المجتمع وبلوغ مستهدف المشاركة</t>
  </si>
  <si>
    <t>KPI-09, KPI-10</t>
  </si>
  <si>
    <t>الأنشطة الطلابية</t>
  </si>
  <si>
    <t>طوال الفصل الثاني</t>
  </si>
  <si>
    <t>معارض المشروعات وفعاليات مشاركة الأسر (فعالية لكل مدرسة)</t>
  </si>
  <si>
    <t>KPI-23</t>
  </si>
  <si>
    <t>مارس - مايو</t>
  </si>
  <si>
    <t>استكمال تحديث خرائط الميول لجميع المستهدفين</t>
  </si>
  <si>
    <t>القياس البعدي الختامي والتقرير السنوي وورشة الدروس المستفادة ومدخلات خطة 2027-2028</t>
  </si>
  <si>
    <t>الختام</t>
  </si>
  <si>
    <t>مايو - يونيو</t>
  </si>
  <si>
    <t>الرمز</t>
  </si>
  <si>
    <t>المؤشر</t>
  </si>
  <si>
    <t>الغاية</t>
  </si>
  <si>
    <t>المالك</t>
  </si>
  <si>
    <t>الدورية</t>
  </si>
  <si>
    <t>خط الأساس</t>
  </si>
  <si>
    <t>مستهدف الفصل الأول</t>
  </si>
  <si>
    <t>فعلي الفصل الأول</t>
  </si>
  <si>
    <t>حالة الفصل الأول</t>
  </si>
  <si>
    <t>مستهدف نهاية العام</t>
  </si>
  <si>
    <t>فعلي نهاية العام</t>
  </si>
  <si>
    <t>الحالة النهائية</t>
  </si>
  <si>
    <t>KPI-01</t>
  </si>
  <si>
    <t>نسبة الطلبة المشاركين في مهام ومشروعات تطبيقية</t>
  </si>
  <si>
    <t>الأولى</t>
  </si>
  <si>
    <t>رئيس القسم الأكاديمي</t>
  </si>
  <si>
    <t>فصلي</t>
  </si>
  <si>
    <t>KPI-02</t>
  </si>
  <si>
    <t>نسبة المشروعات المحققة لمعايير الأداء</t>
  </si>
  <si>
    <t>الموجه الفني</t>
  </si>
  <si>
    <t>KPI-03</t>
  </si>
  <si>
    <t>نسبة المعلمين الموظفين لاستراتيجية تعلم تطبيقي</t>
  </si>
  <si>
    <t>مدير المدرسة</t>
  </si>
  <si>
    <t>KPI-04</t>
  </si>
  <si>
    <t>نسبة الطلبة المشاركين فعلياً في أدوار المشروع</t>
  </si>
  <si>
    <t>معلم المشروع</t>
  </si>
  <si>
    <t>نسبة الصفوف المطبقة لإطار القدرات والمهارات</t>
  </si>
  <si>
    <t>الثانية</t>
  </si>
  <si>
    <t>KPI-06</t>
  </si>
  <si>
    <t>نسبة الطلبة بمستوى متقن فأعلى في سلم المهارات</t>
  </si>
  <si>
    <t>المعلم المقيِّم</t>
  </si>
  <si>
    <t>مستهدف الفصل الأول = خط الأساس + 15 نقطة</t>
  </si>
  <si>
    <t>نسبة المراحل المنفذة للمشروع الرئيس</t>
  </si>
  <si>
    <t>منسق المدرسة</t>
  </si>
  <si>
    <t>نصف سنوي</t>
  </si>
  <si>
    <t>يُقاس نهاية العام فقط</t>
  </si>
  <si>
    <t>KPI-08</t>
  </si>
  <si>
    <t>نسبة اكتمال توثيق المشروعات الرئيسة</t>
  </si>
  <si>
    <t>KPI-09</t>
  </si>
  <si>
    <t>نسبة الطلبة في أدوار جماعية موثقة</t>
  </si>
  <si>
    <t>KPI-10</t>
  </si>
  <si>
    <t>نسبة الطلبة في مبادرات خدمة المجتمع</t>
  </si>
  <si>
    <t>نسبة الطلبة بخرائط قدرات وميول محدثة</t>
  </si>
  <si>
    <t>نسبة طلبة التاسع الذين أعدوا خطة انتقال</t>
  </si>
  <si>
    <t>سنوي</t>
  </si>
  <si>
    <t>KPI-13</t>
  </si>
  <si>
    <t>نسبة طلبة الثانوية المستفيدين من الاستكشاف المهني</t>
  </si>
  <si>
    <t>نسبة اكتمال ملفات جاهزية الثاني عشر</t>
  </si>
  <si>
    <t>KPI-15</t>
  </si>
  <si>
    <t>نسبة الطلبة المتقنين للأدوات الرقمية</t>
  </si>
  <si>
    <t>قسم الحاسوب</t>
  </si>
  <si>
    <t>نسبة المدارس المطبقة لسياسة الذكاء الاصطناعي</t>
  </si>
  <si>
    <t>KPI-17</t>
  </si>
  <si>
    <t>نسبة الأعمال الرقمية المستوفية لمعايير التوثيق</t>
  </si>
  <si>
    <t>KPI-18</t>
  </si>
  <si>
    <t>نسبة الطلبة بأدلة أداء متقنة في المهارات الحياتية</t>
  </si>
  <si>
    <t>KPI-19</t>
  </si>
  <si>
    <t>نسبة اكتمال المهام الحياتية للمرحلة المتوسطة</t>
  </si>
  <si>
    <t>رئيسا القسمين</t>
  </si>
  <si>
    <t>KPI-20</t>
  </si>
  <si>
    <t>نسبة الالتزام بإجراءات الصحة والسلامة</t>
  </si>
  <si>
    <t>مشرف السلامة</t>
  </si>
  <si>
    <t>شهري</t>
  </si>
  <si>
    <t>نسبة المعلمين المتمين للحقيبة التدريبية</t>
  </si>
  <si>
    <t>الثالثة</t>
  </si>
  <si>
    <t>KPI-22</t>
  </si>
  <si>
    <t>نسبة المعلمين المطبقين فعلياً بعد التدريب</t>
  </si>
  <si>
    <t>نسبة الأسر المشاركة في أنشطة المشروع</t>
  </si>
  <si>
    <t>الخامسة</t>
  </si>
  <si>
    <t>العلاقات مع الأسر</t>
  </si>
  <si>
    <t>نسبة الأسر المطلعة على ملف تقدم الطالب</t>
  </si>
  <si>
    <t>عدد الشراكات الفاعلة لكل مدرسة</t>
  </si>
  <si>
    <t>السادسة</t>
  </si>
  <si>
    <t>KPI-26</t>
  </si>
  <si>
    <t>عدد الأنشطة مع الشركاء لكل مدرسة</t>
  </si>
  <si>
    <t>المهمة</t>
  </si>
  <si>
    <t>الموعد النهائي</t>
  </si>
  <si>
    <t>سلم المهارات الموحد</t>
  </si>
  <si>
    <t>التوجيه الفني</t>
  </si>
  <si>
    <t>قبل بدء العام</t>
  </si>
  <si>
    <t>أُعدّ ضمن حزمة التبعيات — بانتظار اعتماد اللجنة</t>
  </si>
  <si>
    <t>سلم تقدير المشروعات (روبرك)</t>
  </si>
  <si>
    <t>مصفوفة الأدوات الرقمية</t>
  </si>
  <si>
    <t>سياسة الذكاء الاصطناعي</t>
  </si>
  <si>
    <t>الدليل الإجرائي الموحد للقياس والتوثيق</t>
  </si>
  <si>
    <t>كراسة شروط التعاقد على النواة الجاهزة</t>
  </si>
  <si>
    <t>فور اعتماد اللجنة</t>
  </si>
  <si>
    <t>البرومبت جاهز في ملف المهام العالقة</t>
  </si>
  <si>
    <t>مواصفات لوحة المؤشرات الداخلية</t>
  </si>
  <si>
    <t>خلال الفصل الأول</t>
  </si>
  <si>
    <t>نموذج خطة معالجة الانحراف</t>
  </si>
  <si>
    <t>قبل نهاية الأسبوع السادس</t>
  </si>
  <si>
    <t>ضمن حزمة التبعيات — الفصل السادس</t>
  </si>
  <si>
    <t>الخطر</t>
  </si>
  <si>
    <t>الدرجة</t>
  </si>
  <si>
    <t>الاستجابة</t>
  </si>
  <si>
    <t>آخر مراجعة</t>
  </si>
  <si>
    <t>R1</t>
  </si>
  <si>
    <t>تأخر تدريب المعلمين</t>
  </si>
  <si>
    <t>عالية</t>
  </si>
  <si>
    <t>دفعة أولى قبل بدء العام ودفعات متلاحقة في الأسابيع الستة الأولى</t>
  </si>
  <si>
    <t>اعتماد المتابعة كلها على فرد واحد</t>
  </si>
  <si>
    <t>نائب معتمد من اليوم الأول + توثيق الإجراءات + أتمتة قصوى</t>
  </si>
  <si>
    <t>R3</t>
  </si>
  <si>
    <t>تأخر جاهزية المنصة عن بدء العام</t>
  </si>
  <si>
    <t>حل هجين بمرحلة أولى مصغرة + نماذج رقمية مؤقتة كخطة بديلة</t>
  </si>
  <si>
    <t>R4</t>
  </si>
  <si>
    <t>إجهاد المعلمين من عبء التوثيق</t>
  </si>
  <si>
    <t>إدخال في 3 دقائق + دمج التوثيق في سير العمل التعليمي</t>
  </si>
  <si>
    <t>R5</t>
  </si>
  <si>
    <t>تفاوت أحكام المقيّمين</t>
  </si>
  <si>
    <t>متوسطة</t>
  </si>
  <si>
    <t>معايرة قبل كل فصل + تدقيق عينات 5%</t>
  </si>
  <si>
    <t>R6</t>
  </si>
  <si>
    <t>كشف خطوط الأساس فجوة كبيرة عن المستهدفات</t>
  </si>
  <si>
    <t>مراجعة المستهدفات المرحلية بقرار موثق من اللجنة</t>
  </si>
  <si>
    <t>R7</t>
  </si>
  <si>
    <t>ضعف تجاوب الأسر</t>
  </si>
  <si>
    <t>بوابة بسيطة بإشعارات + الربط باللقاءات الدورية القائمة</t>
  </si>
  <si>
    <t>R8</t>
  </si>
  <si>
    <t>تعثر الشراكات أو بقاؤها بلا أنشطة</t>
  </si>
  <si>
    <t>مخاطبات مبكرة + تنسيق مركزي + اشتراط نشاط منفذ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</si>
</sst>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Tajawal"/>
    </font>
    <font>
      <sz val="11"/>
      <color theme="1"/>
      <name val="Tajawal"/>
    </font>
    <font>
      <b/>
      <sz val="11"/>
      <color rgb="FFFFFFFF"/>
      <name val="Tajawal"/>
    </font>
    <font>
      <b/>
      <sz val="10"/>
      <color rgb="FF1F3864"/>
      <name val="Tajawal"/>
    </font>
    <font>
      <b/>
      <sz val="12"/>
      <name val="Tajawal"/>
    </font>
    <font>
      <i/>
      <sz val="10"/>
      <color rgb="FF555555"/>
      <name val="Tajawal"/>
    </font>
    <font>
      <sz val="10"/>
      <name val="Tajawal"/>
    </font>
    <font>
      <b/>
      <sz val="10"/>
      <name val="Tajawal"/>
    </font>
    <font>
      <b/>
      <sz val="10"/>
      <color rgb="FF922B21"/>
      <name val="Tajaw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4EF"/>
        <bgColor rgb="FFE2F0E5"/>
      </patternFill>
    </fill>
    <fill>
      <patternFill patternType="solid">
        <fgColor rgb="FFFFF2CC"/>
        <bgColor rgb="FFFCED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 wrapText="1" readingOrder="2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right" vertical="center" wrapText="1" readingOrder="2"/>
    </xf>
    <xf numFmtId="0" fontId="8" fillId="4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9" fontId="7" fillId="4" borderId="1" xfId="0" applyNumberFormat="1" applyFont="1" applyFill="1" applyBorder="1" applyAlignment="1">
      <alignment horizontal="center" vertical="center" wrapText="1" readingOrder="2"/>
    </xf>
    <xf numFmtId="9" fontId="7" fillId="0" borderId="1" xfId="0" applyNumberFormat="1" applyFont="1" applyBorder="1" applyAlignment="1">
      <alignment horizontal="center" vertical="center" wrapText="1" readingOrder="2"/>
    </xf>
    <xf numFmtId="1" fontId="7" fillId="4" borderId="1" xfId="0" applyNumberFormat="1" applyFont="1" applyFill="1" applyBorder="1" applyAlignment="1">
      <alignment horizontal="center" vertical="center" wrapText="1" readingOrder="2"/>
    </xf>
    <xf numFmtId="1" fontId="7" fillId="0" borderId="1" xfId="0" applyNumberFormat="1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b/>
        <sz val="10"/>
        <color rgb="FF922B21"/>
        <name val="Arial"/>
        <charset val="1"/>
      </font>
      <fill>
        <patternFill>
          <bgColor rgb="FFFADBD8"/>
        </patternFill>
      </fill>
    </dxf>
    <dxf>
      <font>
        <b/>
        <sz val="10"/>
        <color rgb="FF922B21"/>
        <name val="Arial"/>
        <charset val="1"/>
      </font>
      <fill>
        <patternFill>
          <bgColor rgb="FFFADBD8"/>
        </patternFill>
      </fill>
    </dxf>
    <dxf>
      <font>
        <b/>
        <sz val="10"/>
        <color rgb="FF9A6400"/>
        <name val="Arial"/>
        <charset val="1"/>
      </font>
      <fill>
        <patternFill>
          <bgColor rgb="FFFCEDDC"/>
        </patternFill>
      </fill>
    </dxf>
    <dxf>
      <font>
        <b/>
        <sz val="10"/>
        <color rgb="FF1F3864"/>
        <name val="Arial"/>
        <charset val="1"/>
      </font>
      <fill>
        <patternFill>
          <bgColor rgb="FFE3EBF6"/>
        </patternFill>
      </fill>
    </dxf>
    <dxf>
      <font>
        <b/>
        <sz val="10"/>
        <color rgb="FF1B5E20"/>
        <name val="Arial"/>
        <charset val="1"/>
      </font>
      <fill>
        <patternFill>
          <bgColor rgb="FFE2F0E5"/>
        </patternFill>
      </fill>
    </dxf>
    <dxf>
      <font>
        <b/>
        <sz val="10"/>
        <color rgb="FF1B5E20"/>
        <name val="Arial"/>
        <charset val="1"/>
      </font>
      <fill>
        <patternFill>
          <bgColor rgb="FFE2F0E5"/>
        </patternFill>
      </fill>
    </dxf>
    <dxf>
      <font>
        <b/>
        <sz val="10"/>
        <color rgb="FF922B21"/>
        <name val="Arial"/>
        <charset val="1"/>
      </font>
      <fill>
        <patternFill>
          <bgColor rgb="FFFADBD8"/>
        </patternFill>
      </fill>
    </dxf>
    <dxf>
      <font>
        <b/>
        <sz val="10"/>
        <color rgb="FF922B21"/>
        <name val="Arial"/>
        <charset val="1"/>
      </font>
      <fill>
        <patternFill>
          <bgColor rgb="FFFADBD8"/>
        </patternFill>
      </fill>
    </dxf>
    <dxf>
      <font>
        <b/>
        <sz val="10"/>
        <color rgb="FF9A6400"/>
        <name val="Arial"/>
        <charset val="1"/>
      </font>
      <fill>
        <patternFill>
          <bgColor rgb="FFFCEDDC"/>
        </patternFill>
      </fill>
    </dxf>
    <dxf>
      <font>
        <b/>
        <sz val="10"/>
        <color rgb="FF1F3864"/>
        <name val="Arial"/>
        <charset val="1"/>
      </font>
      <fill>
        <patternFill>
          <bgColor rgb="FFE3EBF6"/>
        </patternFill>
      </fill>
    </dxf>
    <dxf>
      <font>
        <b/>
        <sz val="10"/>
        <color rgb="FF1B5E20"/>
        <name val="Arial"/>
        <charset val="1"/>
      </font>
      <fill>
        <patternFill>
          <bgColor rgb="FFE2F0E5"/>
        </patternFill>
      </fill>
    </dxf>
    <dxf>
      <font>
        <b/>
        <sz val="10"/>
        <color rgb="FF1B5E20"/>
        <name val="Arial"/>
        <charset val="1"/>
      </font>
      <fill>
        <patternFill>
          <bgColor rgb="FFE2F0E5"/>
        </patternFill>
      </fill>
    </dxf>
    <dxf>
      <font>
        <b/>
        <sz val="10"/>
        <color rgb="FF922B21"/>
        <name val="Arial"/>
        <charset val="1"/>
      </font>
      <fill>
        <patternFill>
          <bgColor rgb="FFFADBD8"/>
        </patternFill>
      </fill>
    </dxf>
    <dxf>
      <font>
        <b/>
        <sz val="10"/>
        <color rgb="FF922B21"/>
        <name val="Arial"/>
        <charset val="1"/>
      </font>
      <fill>
        <patternFill>
          <bgColor rgb="FFFADBD8"/>
        </patternFill>
      </fill>
    </dxf>
    <dxf>
      <font>
        <b/>
        <sz val="10"/>
        <color rgb="FF9A6400"/>
        <name val="Arial"/>
        <charset val="1"/>
      </font>
      <fill>
        <patternFill>
          <bgColor rgb="FFFCEDDC"/>
        </patternFill>
      </fill>
    </dxf>
    <dxf>
      <font>
        <b/>
        <sz val="10"/>
        <color rgb="FF1F3864"/>
        <name val="Arial"/>
        <charset val="1"/>
      </font>
      <fill>
        <patternFill>
          <bgColor rgb="FFE3EBF6"/>
        </patternFill>
      </fill>
    </dxf>
    <dxf>
      <font>
        <b/>
        <sz val="10"/>
        <color rgb="FF1B5E20"/>
        <name val="Arial"/>
        <charset val="1"/>
      </font>
      <fill>
        <patternFill>
          <bgColor rgb="FFE2F0E5"/>
        </patternFill>
      </fill>
    </dxf>
    <dxf>
      <font>
        <b/>
        <sz val="10"/>
        <color rgb="FF1B5E20"/>
        <name val="Arial"/>
        <charset val="1"/>
      </font>
      <fill>
        <patternFill>
          <bgColor rgb="FFE2F0E5"/>
        </patternFill>
      </fill>
    </dxf>
    <dxf>
      <font>
        <b/>
        <sz val="10"/>
        <color rgb="FF922B21"/>
        <name val="Arial"/>
        <charset val="1"/>
      </font>
      <fill>
        <patternFill>
          <bgColor rgb="FFFADBD8"/>
        </patternFill>
      </fill>
    </dxf>
    <dxf>
      <font>
        <b/>
        <sz val="10"/>
        <color rgb="FF922B21"/>
        <name val="Arial"/>
        <charset val="1"/>
      </font>
      <fill>
        <patternFill>
          <bgColor rgb="FFFADBD8"/>
        </patternFill>
      </fill>
    </dxf>
    <dxf>
      <font>
        <b/>
        <sz val="10"/>
        <color rgb="FF9A6400"/>
        <name val="Arial"/>
        <charset val="1"/>
      </font>
      <fill>
        <patternFill>
          <bgColor rgb="FFFCEDDC"/>
        </patternFill>
      </fill>
    </dxf>
    <dxf>
      <font>
        <b/>
        <sz val="10"/>
        <color rgb="FF1F3864"/>
        <name val="Arial"/>
        <charset val="1"/>
      </font>
      <fill>
        <patternFill>
          <bgColor rgb="FFE3EBF6"/>
        </patternFill>
      </fill>
    </dxf>
    <dxf>
      <font>
        <b/>
        <sz val="10"/>
        <color rgb="FF1B5E20"/>
        <name val="Arial"/>
        <charset val="1"/>
      </font>
      <fill>
        <patternFill>
          <bgColor rgb="FFE2F0E5"/>
        </patternFill>
      </fill>
    </dxf>
    <dxf>
      <font>
        <b/>
        <sz val="10"/>
        <color rgb="FF1B5E20"/>
        <name val="Arial"/>
        <charset val="1"/>
      </font>
      <fill>
        <patternFill>
          <bgColor rgb="FFE2F0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9A6400"/>
      <rgbColor rgb="FF800080"/>
      <rgbColor rgb="FF008080"/>
      <rgbColor rgb="FFBFBFBF"/>
      <rgbColor rgb="FF808080"/>
      <rgbColor rgb="FF9999FF"/>
      <rgbColor rgb="FF993366"/>
      <rgbColor rgb="FFFFF2CC"/>
      <rgbColor rgb="FFE3EB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EF"/>
      <rgbColor rgb="FFE2F0E5"/>
      <rgbColor rgb="FFFCEDD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22B2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rightToLeft="1" tabSelected="1" zoomScaleNormal="100" workbookViewId="0">
      <selection activeCell="C27" sqref="C27"/>
    </sheetView>
  </sheetViews>
  <sheetFormatPr defaultColWidth="8.7109375" defaultRowHeight="16.5" x14ac:dyDescent="0.35"/>
  <cols>
    <col min="1" max="1" width="34" style="2" customWidth="1"/>
    <col min="2" max="5" width="14" style="2" customWidth="1"/>
    <col min="6" max="16384" width="8.7109375" style="2"/>
  </cols>
  <sheetData>
    <row r="1" spans="1:5" ht="22.5" x14ac:dyDescent="0.35">
      <c r="A1" s="1" t="s">
        <v>0</v>
      </c>
      <c r="B1" s="1"/>
      <c r="C1" s="1"/>
      <c r="D1" s="1"/>
      <c r="E1" s="1"/>
    </row>
    <row r="3" spans="1:5" ht="18" x14ac:dyDescent="0.3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ht="19.5" x14ac:dyDescent="0.35">
      <c r="A4" s="5"/>
      <c r="B4" s="6">
        <f>COUNTIF(الأنشطة!$G$2:$G$31,"منجز")</f>
        <v>0</v>
      </c>
      <c r="C4" s="6">
        <f>COUNTIF(الأنشطة!$G$2:$G$31,"جارٍ")</f>
        <v>1</v>
      </c>
      <c r="D4" s="6">
        <f>COUNTIF(الأنشطة!$G$2:$G$31,"لم يبدأ")</f>
        <v>29</v>
      </c>
      <c r="E4" s="6">
        <f>COUNTIF(الأنشطة!$G$2:$G$31,"متأخر")</f>
        <v>0</v>
      </c>
    </row>
    <row r="6" spans="1:5" ht="18" x14ac:dyDescent="0.35">
      <c r="A6" s="3" t="s">
        <v>6</v>
      </c>
      <c r="B6" s="4" t="s">
        <v>7</v>
      </c>
      <c r="C6" s="4" t="s">
        <v>8</v>
      </c>
      <c r="D6" s="4" t="s">
        <v>9</v>
      </c>
      <c r="E6" s="4" t="s">
        <v>10</v>
      </c>
    </row>
    <row r="7" spans="1:5" ht="19.5" x14ac:dyDescent="0.35">
      <c r="A7" s="5"/>
      <c r="B7" s="6">
        <f>COUNTIF(المؤشرات!$I$2:$I$27,"محقق")</f>
        <v>0</v>
      </c>
      <c r="C7" s="6">
        <f>COUNTIF(المؤشرات!$I$2:$I$27,"انحراف")</f>
        <v>0</v>
      </c>
      <c r="D7" s="6">
        <f>COUNTIF(المؤشرات!$I$2:$I$27,"انحراف حرج")</f>
        <v>0</v>
      </c>
      <c r="E7" s="6">
        <f>COUNTIF(المؤشرات!$I$2:$I$27,"لم يُقس بعد")</f>
        <v>22</v>
      </c>
    </row>
    <row r="9" spans="1:5" ht="18" x14ac:dyDescent="0.35">
      <c r="A9" s="3" t="s">
        <v>11</v>
      </c>
      <c r="B9" s="4" t="s">
        <v>7</v>
      </c>
      <c r="C9" s="4" t="s">
        <v>8</v>
      </c>
      <c r="D9" s="4" t="s">
        <v>9</v>
      </c>
      <c r="E9" s="4" t="s">
        <v>10</v>
      </c>
    </row>
    <row r="10" spans="1:5" ht="19.5" x14ac:dyDescent="0.35">
      <c r="A10" s="5"/>
      <c r="B10" s="6">
        <f>COUNTIF(المؤشرات!$L$2:$L$27,"محقق")</f>
        <v>0</v>
      </c>
      <c r="C10" s="6">
        <f>COUNTIF(المؤشرات!$L$2:$L$27,"انحراف")</f>
        <v>0</v>
      </c>
      <c r="D10" s="6">
        <f>COUNTIF(المؤشرات!$L$2:$L$27,"انحراف حرج")</f>
        <v>0</v>
      </c>
      <c r="E10" s="6">
        <f>COUNTIF(المؤشرات!$L$2:$L$27,"لم يُقس بعد")</f>
        <v>26</v>
      </c>
    </row>
    <row r="12" spans="1:5" ht="18" x14ac:dyDescent="0.35">
      <c r="A12" s="3" t="s">
        <v>12</v>
      </c>
      <c r="B12" s="4" t="s">
        <v>2</v>
      </c>
      <c r="C12" s="4" t="s">
        <v>3</v>
      </c>
      <c r="D12" s="4" t="s">
        <v>4</v>
      </c>
      <c r="E12" s="4" t="s">
        <v>5</v>
      </c>
    </row>
    <row r="13" spans="1:5" ht="19.5" x14ac:dyDescent="0.35">
      <c r="A13" s="5"/>
      <c r="B13" s="6">
        <f>COUNTIF('التبعيات الحرجة'!$E$2:$E$9,"منجز")</f>
        <v>6</v>
      </c>
      <c r="C13" s="6">
        <f>COUNTIF('التبعيات الحرجة'!$E$2:$E$9,"جارٍ")</f>
        <v>0</v>
      </c>
      <c r="D13" s="6">
        <f>COUNTIF('التبعيات الحرجة'!$E$2:$E$9,"لم يبدأ")</f>
        <v>2</v>
      </c>
      <c r="E13" s="6">
        <f>COUNTIF('التبعيات الحرجة'!$E$2:$E$9,"متأخر")</f>
        <v>0</v>
      </c>
    </row>
    <row r="15" spans="1:5" ht="18" x14ac:dyDescent="0.35">
      <c r="A15" s="3" t="s">
        <v>13</v>
      </c>
      <c r="B15" s="4" t="s">
        <v>14</v>
      </c>
      <c r="C15" s="4" t="s">
        <v>15</v>
      </c>
      <c r="D15" s="4" t="s">
        <v>16</v>
      </c>
      <c r="E15" s="4" t="s">
        <v>17</v>
      </c>
    </row>
    <row r="16" spans="1:5" ht="19.5" x14ac:dyDescent="0.35">
      <c r="A16" s="5"/>
      <c r="B16" s="6">
        <f>COUNTIF(المخاطر!$F$2:$F$9,"مفتوح")</f>
        <v>8</v>
      </c>
      <c r="C16" s="6">
        <f>COUNTIF(المخاطر!$F$2:$F$9,"تحت السيطرة")</f>
        <v>0</v>
      </c>
      <c r="D16" s="6">
        <f>COUNTIF(المخاطر!$F$2:$F$9,"مغلق")</f>
        <v>0</v>
      </c>
      <c r="E16" s="6">
        <f>COUNTIF(المخاطر!$C$2:$C$9,"عالية")</f>
        <v>4</v>
      </c>
    </row>
    <row r="18" spans="1:5" x14ac:dyDescent="0.35">
      <c r="A18" s="7" t="s">
        <v>18</v>
      </c>
      <c r="B18" s="7"/>
      <c r="C18" s="7"/>
      <c r="D18" s="7"/>
      <c r="E18" s="7"/>
    </row>
    <row r="19" spans="1:5" x14ac:dyDescent="0.35">
      <c r="A19" s="7"/>
      <c r="B19" s="7"/>
      <c r="C19" s="7"/>
      <c r="D19" s="7"/>
      <c r="E19" s="7"/>
    </row>
  </sheetData>
  <mergeCells count="2">
    <mergeCell ref="A1:E1"/>
    <mergeCell ref="A18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rightToLeft="1" zoomScaleNormal="100" workbookViewId="0">
      <pane ySplit="1" topLeftCell="A2" activePane="bottomLeft" state="frozen"/>
      <selection pane="bottomLeft" sqref="A1:XFD1048576"/>
    </sheetView>
  </sheetViews>
  <sheetFormatPr defaultColWidth="8.7109375" defaultRowHeight="16.5" x14ac:dyDescent="0.35"/>
  <cols>
    <col min="1" max="1" width="5" style="2" customWidth="1"/>
    <col min="2" max="2" width="55" style="2" customWidth="1"/>
    <col min="3" max="3" width="12" style="2" customWidth="1"/>
    <col min="4" max="4" width="16" style="2" customWidth="1"/>
    <col min="5" max="5" width="24" style="2" customWidth="1"/>
    <col min="6" max="6" width="22" style="2" customWidth="1"/>
    <col min="7" max="7" width="13" style="2" customWidth="1"/>
    <col min="8" max="8" width="30" style="2" customWidth="1"/>
    <col min="9" max="16384" width="8.7109375" style="2"/>
  </cols>
  <sheetData>
    <row r="1" spans="1:8" ht="27.75" customHeight="1" x14ac:dyDescent="0.3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</row>
    <row r="2" spans="1:8" ht="30" customHeight="1" x14ac:dyDescent="0.35">
      <c r="A2" s="8">
        <v>1</v>
      </c>
      <c r="B2" s="9" t="s">
        <v>27</v>
      </c>
      <c r="C2" s="8" t="s">
        <v>28</v>
      </c>
      <c r="D2" s="9" t="s">
        <v>29</v>
      </c>
      <c r="E2" s="9" t="s">
        <v>30</v>
      </c>
      <c r="F2" s="8" t="s">
        <v>31</v>
      </c>
      <c r="G2" s="10" t="s">
        <v>3</v>
      </c>
      <c r="H2" s="9" t="s">
        <v>32</v>
      </c>
    </row>
    <row r="3" spans="1:8" ht="30" customHeight="1" x14ac:dyDescent="0.35">
      <c r="A3" s="8">
        <v>2</v>
      </c>
      <c r="B3" s="9" t="s">
        <v>33</v>
      </c>
      <c r="C3" s="8" t="s">
        <v>28</v>
      </c>
      <c r="D3" s="9" t="s">
        <v>34</v>
      </c>
      <c r="E3" s="9" t="s">
        <v>30</v>
      </c>
      <c r="F3" s="8" t="s">
        <v>35</v>
      </c>
      <c r="G3" s="10" t="s">
        <v>4</v>
      </c>
      <c r="H3" s="9"/>
    </row>
    <row r="4" spans="1:8" ht="30" customHeight="1" x14ac:dyDescent="0.35">
      <c r="A4" s="8">
        <v>3</v>
      </c>
      <c r="B4" s="9" t="s">
        <v>36</v>
      </c>
      <c r="C4" s="8" t="s">
        <v>28</v>
      </c>
      <c r="D4" s="9" t="s">
        <v>37</v>
      </c>
      <c r="E4" s="9" t="s">
        <v>38</v>
      </c>
      <c r="F4" s="8" t="s">
        <v>39</v>
      </c>
      <c r="G4" s="10" t="s">
        <v>4</v>
      </c>
      <c r="H4" s="9"/>
    </row>
    <row r="5" spans="1:8" ht="30" customHeight="1" x14ac:dyDescent="0.35">
      <c r="A5" s="8">
        <v>4</v>
      </c>
      <c r="B5" s="9" t="s">
        <v>40</v>
      </c>
      <c r="C5" s="8" t="s">
        <v>28</v>
      </c>
      <c r="D5" s="9" t="s">
        <v>41</v>
      </c>
      <c r="E5" s="9" t="s">
        <v>42</v>
      </c>
      <c r="F5" s="8" t="s">
        <v>43</v>
      </c>
      <c r="G5" s="10" t="s">
        <v>4</v>
      </c>
      <c r="H5" s="9"/>
    </row>
    <row r="6" spans="1:8" ht="30" customHeight="1" x14ac:dyDescent="0.35">
      <c r="A6" s="8">
        <v>5</v>
      </c>
      <c r="B6" s="9" t="s">
        <v>44</v>
      </c>
      <c r="C6" s="8" t="s">
        <v>28</v>
      </c>
      <c r="D6" s="9" t="s">
        <v>45</v>
      </c>
      <c r="E6" s="9" t="s">
        <v>46</v>
      </c>
      <c r="F6" s="8" t="s">
        <v>47</v>
      </c>
      <c r="G6" s="10" t="s">
        <v>4</v>
      </c>
      <c r="H6" s="9"/>
    </row>
    <row r="7" spans="1:8" ht="30" customHeight="1" x14ac:dyDescent="0.35">
      <c r="A7" s="8">
        <v>6</v>
      </c>
      <c r="B7" s="9" t="s">
        <v>48</v>
      </c>
      <c r="C7" s="8" t="s">
        <v>28</v>
      </c>
      <c r="D7" s="9" t="s">
        <v>49</v>
      </c>
      <c r="E7" s="9" t="s">
        <v>50</v>
      </c>
      <c r="F7" s="8" t="s">
        <v>51</v>
      </c>
      <c r="G7" s="10" t="s">
        <v>4</v>
      </c>
      <c r="H7" s="9"/>
    </row>
    <row r="8" spans="1:8" ht="30" customHeight="1" x14ac:dyDescent="0.35">
      <c r="A8" s="8">
        <v>7</v>
      </c>
      <c r="B8" s="9" t="s">
        <v>52</v>
      </c>
      <c r="C8" s="8" t="s">
        <v>28</v>
      </c>
      <c r="D8" s="9" t="s">
        <v>53</v>
      </c>
      <c r="E8" s="9" t="s">
        <v>54</v>
      </c>
      <c r="F8" s="8" t="s">
        <v>55</v>
      </c>
      <c r="G8" s="10" t="s">
        <v>4</v>
      </c>
      <c r="H8" s="9"/>
    </row>
    <row r="9" spans="1:8" ht="30" customHeight="1" x14ac:dyDescent="0.35">
      <c r="A9" s="8">
        <v>8</v>
      </c>
      <c r="B9" s="9" t="s">
        <v>56</v>
      </c>
      <c r="C9" s="8" t="s">
        <v>57</v>
      </c>
      <c r="D9" s="9" t="s">
        <v>58</v>
      </c>
      <c r="E9" s="9" t="s">
        <v>59</v>
      </c>
      <c r="F9" s="8" t="s">
        <v>60</v>
      </c>
      <c r="G9" s="10" t="s">
        <v>4</v>
      </c>
      <c r="H9" s="9"/>
    </row>
    <row r="10" spans="1:8" ht="30" customHeight="1" x14ac:dyDescent="0.35">
      <c r="A10" s="8">
        <v>9</v>
      </c>
      <c r="B10" s="9" t="s">
        <v>61</v>
      </c>
      <c r="C10" s="8" t="s">
        <v>57</v>
      </c>
      <c r="D10" s="9" t="s">
        <v>62</v>
      </c>
      <c r="E10" s="9" t="s">
        <v>50</v>
      </c>
      <c r="F10" s="8" t="s">
        <v>63</v>
      </c>
      <c r="G10" s="10" t="s">
        <v>4</v>
      </c>
      <c r="H10" s="9"/>
    </row>
    <row r="11" spans="1:8" ht="30" customHeight="1" x14ac:dyDescent="0.35">
      <c r="A11" s="8">
        <v>10</v>
      </c>
      <c r="B11" s="9" t="s">
        <v>64</v>
      </c>
      <c r="C11" s="8" t="s">
        <v>57</v>
      </c>
      <c r="D11" s="9" t="s">
        <v>45</v>
      </c>
      <c r="E11" s="9" t="s">
        <v>46</v>
      </c>
      <c r="F11" s="8" t="s">
        <v>65</v>
      </c>
      <c r="G11" s="10" t="s">
        <v>4</v>
      </c>
      <c r="H11" s="9"/>
    </row>
    <row r="12" spans="1:8" ht="30" customHeight="1" x14ac:dyDescent="0.35">
      <c r="A12" s="8">
        <v>11</v>
      </c>
      <c r="B12" s="9" t="s">
        <v>66</v>
      </c>
      <c r="C12" s="8" t="s">
        <v>57</v>
      </c>
      <c r="D12" s="9" t="s">
        <v>62</v>
      </c>
      <c r="E12" s="9" t="s">
        <v>50</v>
      </c>
      <c r="F12" s="8" t="s">
        <v>67</v>
      </c>
      <c r="G12" s="10" t="s">
        <v>4</v>
      </c>
      <c r="H12" s="9"/>
    </row>
    <row r="13" spans="1:8" ht="30" customHeight="1" x14ac:dyDescent="0.35">
      <c r="A13" s="8">
        <v>12</v>
      </c>
      <c r="B13" s="9" t="s">
        <v>68</v>
      </c>
      <c r="C13" s="8" t="s">
        <v>57</v>
      </c>
      <c r="D13" s="9" t="s">
        <v>69</v>
      </c>
      <c r="E13" s="9" t="s">
        <v>70</v>
      </c>
      <c r="F13" s="8" t="s">
        <v>71</v>
      </c>
      <c r="G13" s="10" t="s">
        <v>4</v>
      </c>
      <c r="H13" s="9"/>
    </row>
    <row r="14" spans="1:8" ht="30" customHeight="1" x14ac:dyDescent="0.35">
      <c r="A14" s="8">
        <v>13</v>
      </c>
      <c r="B14" s="9" t="s">
        <v>72</v>
      </c>
      <c r="C14" s="8" t="s">
        <v>57</v>
      </c>
      <c r="D14" s="9" t="s">
        <v>73</v>
      </c>
      <c r="E14" s="9" t="s">
        <v>74</v>
      </c>
      <c r="F14" s="8" t="s">
        <v>75</v>
      </c>
      <c r="G14" s="10" t="s">
        <v>4</v>
      </c>
      <c r="H14" s="9"/>
    </row>
    <row r="15" spans="1:8" ht="30" customHeight="1" x14ac:dyDescent="0.35">
      <c r="A15" s="8">
        <v>14</v>
      </c>
      <c r="B15" s="9" t="s">
        <v>76</v>
      </c>
      <c r="C15" s="8" t="s">
        <v>57</v>
      </c>
      <c r="D15" s="9" t="s">
        <v>77</v>
      </c>
      <c r="E15" s="9" t="s">
        <v>74</v>
      </c>
      <c r="F15" s="8" t="s">
        <v>57</v>
      </c>
      <c r="G15" s="10" t="s">
        <v>4</v>
      </c>
      <c r="H15" s="9"/>
    </row>
    <row r="16" spans="1:8" ht="30" customHeight="1" x14ac:dyDescent="0.35">
      <c r="A16" s="8">
        <v>15</v>
      </c>
      <c r="B16" s="9" t="s">
        <v>78</v>
      </c>
      <c r="C16" s="8" t="s">
        <v>57</v>
      </c>
      <c r="D16" s="9" t="s">
        <v>79</v>
      </c>
      <c r="E16" s="9" t="s">
        <v>80</v>
      </c>
      <c r="F16" s="8" t="s">
        <v>81</v>
      </c>
      <c r="G16" s="10" t="s">
        <v>4</v>
      </c>
      <c r="H16" s="9"/>
    </row>
    <row r="17" spans="1:8" ht="30" customHeight="1" x14ac:dyDescent="0.35">
      <c r="A17" s="8">
        <v>16</v>
      </c>
      <c r="B17" s="9" t="s">
        <v>82</v>
      </c>
      <c r="C17" s="8" t="s">
        <v>57</v>
      </c>
      <c r="D17" s="9" t="s">
        <v>83</v>
      </c>
      <c r="E17" s="9" t="s">
        <v>84</v>
      </c>
      <c r="F17" s="8" t="s">
        <v>85</v>
      </c>
      <c r="G17" s="10" t="s">
        <v>4</v>
      </c>
      <c r="H17" s="9"/>
    </row>
    <row r="18" spans="1:8" ht="30" customHeight="1" x14ac:dyDescent="0.35">
      <c r="A18" s="8">
        <v>17</v>
      </c>
      <c r="B18" s="9" t="s">
        <v>86</v>
      </c>
      <c r="C18" s="8" t="s">
        <v>57</v>
      </c>
      <c r="D18" s="9" t="s">
        <v>87</v>
      </c>
      <c r="E18" s="9" t="s">
        <v>42</v>
      </c>
      <c r="F18" s="8" t="s">
        <v>88</v>
      </c>
      <c r="G18" s="10" t="s">
        <v>4</v>
      </c>
      <c r="H18" s="9"/>
    </row>
    <row r="19" spans="1:8" ht="30" customHeight="1" x14ac:dyDescent="0.35">
      <c r="A19" s="8">
        <v>18</v>
      </c>
      <c r="B19" s="9" t="s">
        <v>89</v>
      </c>
      <c r="C19" s="8" t="s">
        <v>57</v>
      </c>
      <c r="D19" s="9" t="s">
        <v>90</v>
      </c>
      <c r="E19" s="9" t="s">
        <v>50</v>
      </c>
      <c r="F19" s="8" t="s">
        <v>91</v>
      </c>
      <c r="G19" s="10" t="s">
        <v>4</v>
      </c>
      <c r="H19" s="9"/>
    </row>
    <row r="20" spans="1:8" ht="30" customHeight="1" x14ac:dyDescent="0.35">
      <c r="A20" s="8">
        <v>19</v>
      </c>
      <c r="B20" s="9" t="s">
        <v>92</v>
      </c>
      <c r="C20" s="8" t="s">
        <v>57</v>
      </c>
      <c r="D20" s="9" t="s">
        <v>93</v>
      </c>
      <c r="E20" s="9" t="s">
        <v>70</v>
      </c>
      <c r="F20" s="8" t="s">
        <v>94</v>
      </c>
      <c r="G20" s="10" t="s">
        <v>4</v>
      </c>
      <c r="H20" s="9"/>
    </row>
    <row r="21" spans="1:8" ht="30" customHeight="1" x14ac:dyDescent="0.35">
      <c r="A21" s="8">
        <v>20</v>
      </c>
      <c r="B21" s="9" t="s">
        <v>95</v>
      </c>
      <c r="C21" s="8" t="s">
        <v>57</v>
      </c>
      <c r="D21" s="9" t="s">
        <v>96</v>
      </c>
      <c r="E21" s="9" t="s">
        <v>97</v>
      </c>
      <c r="F21" s="8" t="s">
        <v>98</v>
      </c>
      <c r="G21" s="10" t="s">
        <v>4</v>
      </c>
      <c r="H21" s="9"/>
    </row>
    <row r="22" spans="1:8" ht="30" customHeight="1" x14ac:dyDescent="0.35">
      <c r="A22" s="8">
        <v>21</v>
      </c>
      <c r="B22" s="9" t="s">
        <v>99</v>
      </c>
      <c r="C22" s="8" t="s">
        <v>100</v>
      </c>
      <c r="D22" s="9" t="s">
        <v>101</v>
      </c>
      <c r="E22" s="9" t="s">
        <v>42</v>
      </c>
      <c r="F22" s="8" t="s">
        <v>102</v>
      </c>
      <c r="G22" s="10" t="s">
        <v>4</v>
      </c>
      <c r="H22" s="9"/>
    </row>
    <row r="23" spans="1:8" ht="30" customHeight="1" x14ac:dyDescent="0.35">
      <c r="A23" s="8">
        <v>22</v>
      </c>
      <c r="B23" s="9" t="s">
        <v>103</v>
      </c>
      <c r="C23" s="8" t="s">
        <v>100</v>
      </c>
      <c r="D23" s="9" t="s">
        <v>104</v>
      </c>
      <c r="E23" s="9" t="s">
        <v>50</v>
      </c>
      <c r="F23" s="8" t="s">
        <v>105</v>
      </c>
      <c r="G23" s="10" t="s">
        <v>4</v>
      </c>
      <c r="H23" s="9"/>
    </row>
    <row r="24" spans="1:8" ht="30" customHeight="1" x14ac:dyDescent="0.35">
      <c r="A24" s="8">
        <v>23</v>
      </c>
      <c r="B24" s="9" t="s">
        <v>106</v>
      </c>
      <c r="C24" s="8" t="s">
        <v>100</v>
      </c>
      <c r="D24" s="9" t="s">
        <v>107</v>
      </c>
      <c r="E24" s="9" t="s">
        <v>108</v>
      </c>
      <c r="F24" s="8" t="s">
        <v>105</v>
      </c>
      <c r="G24" s="10" t="s">
        <v>4</v>
      </c>
      <c r="H24" s="9"/>
    </row>
    <row r="25" spans="1:8" ht="30" customHeight="1" x14ac:dyDescent="0.35">
      <c r="A25" s="8">
        <v>24</v>
      </c>
      <c r="B25" s="9" t="s">
        <v>109</v>
      </c>
      <c r="C25" s="8" t="s">
        <v>100</v>
      </c>
      <c r="D25" s="9" t="s">
        <v>77</v>
      </c>
      <c r="E25" s="9" t="s">
        <v>74</v>
      </c>
      <c r="F25" s="8" t="s">
        <v>110</v>
      </c>
      <c r="G25" s="10" t="s">
        <v>4</v>
      </c>
      <c r="H25" s="9"/>
    </row>
    <row r="26" spans="1:8" ht="30" customHeight="1" x14ac:dyDescent="0.35">
      <c r="A26" s="8">
        <v>25</v>
      </c>
      <c r="B26" s="9" t="s">
        <v>111</v>
      </c>
      <c r="C26" s="8" t="s">
        <v>100</v>
      </c>
      <c r="D26" s="9" t="s">
        <v>112</v>
      </c>
      <c r="E26" s="9" t="s">
        <v>113</v>
      </c>
      <c r="F26" s="8" t="s">
        <v>114</v>
      </c>
      <c r="G26" s="10" t="s">
        <v>4</v>
      </c>
      <c r="H26" s="9"/>
    </row>
    <row r="27" spans="1:8" ht="30" customHeight="1" x14ac:dyDescent="0.35">
      <c r="A27" s="8">
        <v>26</v>
      </c>
      <c r="B27" s="9" t="s">
        <v>115</v>
      </c>
      <c r="C27" s="8" t="s">
        <v>100</v>
      </c>
      <c r="D27" s="9" t="s">
        <v>79</v>
      </c>
      <c r="E27" s="9" t="s">
        <v>54</v>
      </c>
      <c r="F27" s="8" t="s">
        <v>116</v>
      </c>
      <c r="G27" s="10" t="s">
        <v>4</v>
      </c>
      <c r="H27" s="9"/>
    </row>
    <row r="28" spans="1:8" ht="30" customHeight="1" x14ac:dyDescent="0.35">
      <c r="A28" s="8">
        <v>27</v>
      </c>
      <c r="B28" s="9" t="s">
        <v>117</v>
      </c>
      <c r="C28" s="8" t="s">
        <v>100</v>
      </c>
      <c r="D28" s="9" t="s">
        <v>118</v>
      </c>
      <c r="E28" s="9" t="s">
        <v>119</v>
      </c>
      <c r="F28" s="8" t="s">
        <v>120</v>
      </c>
      <c r="G28" s="10" t="s">
        <v>4</v>
      </c>
      <c r="H28" s="9"/>
    </row>
    <row r="29" spans="1:8" ht="30" customHeight="1" x14ac:dyDescent="0.35">
      <c r="A29" s="8">
        <v>28</v>
      </c>
      <c r="B29" s="9" t="s">
        <v>121</v>
      </c>
      <c r="C29" s="8" t="s">
        <v>100</v>
      </c>
      <c r="D29" s="9" t="s">
        <v>122</v>
      </c>
      <c r="E29" s="9" t="s">
        <v>50</v>
      </c>
      <c r="F29" s="8" t="s">
        <v>123</v>
      </c>
      <c r="G29" s="10" t="s">
        <v>4</v>
      </c>
      <c r="H29" s="9"/>
    </row>
    <row r="30" spans="1:8" ht="30" customHeight="1" x14ac:dyDescent="0.35">
      <c r="A30" s="8">
        <v>29</v>
      </c>
      <c r="B30" s="9" t="s">
        <v>124</v>
      </c>
      <c r="C30" s="8" t="s">
        <v>100</v>
      </c>
      <c r="D30" s="9" t="s">
        <v>73</v>
      </c>
      <c r="E30" s="9" t="s">
        <v>74</v>
      </c>
      <c r="F30" s="8" t="s">
        <v>114</v>
      </c>
      <c r="G30" s="10" t="s">
        <v>4</v>
      </c>
      <c r="H30" s="9"/>
    </row>
    <row r="31" spans="1:8" ht="30" customHeight="1" x14ac:dyDescent="0.35">
      <c r="A31" s="8">
        <v>30</v>
      </c>
      <c r="B31" s="9" t="s">
        <v>125</v>
      </c>
      <c r="C31" s="8" t="s">
        <v>126</v>
      </c>
      <c r="D31" s="9" t="s">
        <v>29</v>
      </c>
      <c r="E31" s="9" t="s">
        <v>97</v>
      </c>
      <c r="F31" s="8" t="s">
        <v>127</v>
      </c>
      <c r="G31" s="10" t="s">
        <v>4</v>
      </c>
      <c r="H31" s="9"/>
    </row>
  </sheetData>
  <conditionalFormatting sqref="G2:G31">
    <cfRule type="cellIs" dxfId="23" priority="2" operator="equal">
      <formula>"محقق"</formula>
    </cfRule>
    <cfRule type="cellIs" dxfId="22" priority="3" operator="equal">
      <formula>"منجز"</formula>
    </cfRule>
    <cfRule type="cellIs" dxfId="21" priority="4" operator="equal">
      <formula>"جارٍ"</formula>
    </cfRule>
    <cfRule type="cellIs" dxfId="20" priority="5" operator="equal">
      <formula>"انحراف"</formula>
    </cfRule>
    <cfRule type="cellIs" dxfId="19" priority="6" operator="equal">
      <formula>"انحراف حرج"</formula>
    </cfRule>
    <cfRule type="cellIs" dxfId="18" priority="7" operator="equal">
      <formula>"متأخر"</formula>
    </cfRule>
  </conditionalFormatting>
  <dataValidations count="1">
    <dataValidation type="list" allowBlank="1" sqref="G2:G31" xr:uid="{00000000-0002-0000-0100-000000000000}">
      <formula1>"لم يبدأ,جارٍ,منجز,متأخر"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rightToLeft="1"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sqref="A1:M27"/>
    </sheetView>
  </sheetViews>
  <sheetFormatPr defaultColWidth="8.7109375" defaultRowHeight="15" x14ac:dyDescent="0.25"/>
  <cols>
    <col min="1" max="1" width="9" customWidth="1"/>
    <col min="2" max="2" width="42" customWidth="1"/>
    <col min="3" max="3" width="9" customWidth="1"/>
    <col min="4" max="4" width="20" customWidth="1"/>
    <col min="5" max="5" width="10" customWidth="1"/>
    <col min="6" max="6" width="11" customWidth="1"/>
    <col min="7" max="8" width="12" customWidth="1"/>
    <col min="9" max="9" width="13" customWidth="1"/>
    <col min="10" max="11" width="12" customWidth="1"/>
    <col min="12" max="12" width="13" customWidth="1"/>
    <col min="13" max="13" width="24" customWidth="1"/>
  </cols>
  <sheetData>
    <row r="1" spans="1:13" ht="27.75" customHeight="1" x14ac:dyDescent="0.25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  <c r="J1" s="3" t="s">
        <v>137</v>
      </c>
      <c r="K1" s="3" t="s">
        <v>138</v>
      </c>
      <c r="L1" s="3" t="s">
        <v>139</v>
      </c>
      <c r="M1" s="3" t="s">
        <v>26</v>
      </c>
    </row>
    <row r="2" spans="1:13" ht="30" customHeight="1" x14ac:dyDescent="0.25">
      <c r="A2" s="11" t="s">
        <v>140</v>
      </c>
      <c r="B2" s="9" t="s">
        <v>141</v>
      </c>
      <c r="C2" s="8" t="s">
        <v>142</v>
      </c>
      <c r="D2" s="9" t="s">
        <v>143</v>
      </c>
      <c r="E2" s="8" t="s">
        <v>144</v>
      </c>
      <c r="F2" s="12"/>
      <c r="G2" s="13">
        <v>0.6</v>
      </c>
      <c r="H2" s="12"/>
      <c r="I2" s="11" t="str">
        <f t="shared" ref="I2:I27" si="0">IF(G2="","—",IF(H2="","لم يُقس بعد",IF(H2&gt;=G2,"محقق",IF(G2-H2&gt;0.1,"انحراف حرج","انحراف"))))</f>
        <v>لم يُقس بعد</v>
      </c>
      <c r="J2" s="13">
        <v>0.9</v>
      </c>
      <c r="K2" s="12"/>
      <c r="L2" s="11" t="str">
        <f t="shared" ref="L2:L27" si="1">IF(K2="","لم يُقس بعد",IF(K2&gt;=J2,"محقق",IF(J2-K2&gt;0.1,"انحراف حرج","انحراف")))</f>
        <v>لم يُقس بعد</v>
      </c>
      <c r="M2" s="9"/>
    </row>
    <row r="3" spans="1:13" ht="30" customHeight="1" x14ac:dyDescent="0.25">
      <c r="A3" s="11" t="s">
        <v>145</v>
      </c>
      <c r="B3" s="9" t="s">
        <v>146</v>
      </c>
      <c r="C3" s="8" t="s">
        <v>142</v>
      </c>
      <c r="D3" s="9" t="s">
        <v>147</v>
      </c>
      <c r="E3" s="8" t="s">
        <v>144</v>
      </c>
      <c r="F3" s="12"/>
      <c r="G3" s="13">
        <v>0.6</v>
      </c>
      <c r="H3" s="12"/>
      <c r="I3" s="11" t="str">
        <f t="shared" si="0"/>
        <v>لم يُقس بعد</v>
      </c>
      <c r="J3" s="13">
        <v>0.8</v>
      </c>
      <c r="K3" s="12"/>
      <c r="L3" s="11" t="str">
        <f t="shared" si="1"/>
        <v>لم يُقس بعد</v>
      </c>
      <c r="M3" s="9"/>
    </row>
    <row r="4" spans="1:13" ht="30" customHeight="1" x14ac:dyDescent="0.25">
      <c r="A4" s="11" t="s">
        <v>148</v>
      </c>
      <c r="B4" s="9" t="s">
        <v>149</v>
      </c>
      <c r="C4" s="8" t="s">
        <v>142</v>
      </c>
      <c r="D4" s="9" t="s">
        <v>150</v>
      </c>
      <c r="E4" s="8" t="s">
        <v>144</v>
      </c>
      <c r="F4" s="12"/>
      <c r="G4" s="13">
        <v>0.55000000000000004</v>
      </c>
      <c r="H4" s="12"/>
      <c r="I4" s="11" t="str">
        <f t="shared" si="0"/>
        <v>لم يُقس بعد</v>
      </c>
      <c r="J4" s="13">
        <v>0.85</v>
      </c>
      <c r="K4" s="12"/>
      <c r="L4" s="11" t="str">
        <f t="shared" si="1"/>
        <v>لم يُقس بعد</v>
      </c>
      <c r="M4" s="9"/>
    </row>
    <row r="5" spans="1:13" ht="30" customHeight="1" x14ac:dyDescent="0.25">
      <c r="A5" s="11" t="s">
        <v>151</v>
      </c>
      <c r="B5" s="9" t="s">
        <v>152</v>
      </c>
      <c r="C5" s="8" t="s">
        <v>142</v>
      </c>
      <c r="D5" s="9" t="s">
        <v>153</v>
      </c>
      <c r="E5" s="8" t="s">
        <v>144</v>
      </c>
      <c r="F5" s="12"/>
      <c r="G5" s="13">
        <v>0.6</v>
      </c>
      <c r="H5" s="12"/>
      <c r="I5" s="11" t="str">
        <f t="shared" si="0"/>
        <v>لم يُقس بعد</v>
      </c>
      <c r="J5" s="13">
        <v>0.9</v>
      </c>
      <c r="K5" s="12"/>
      <c r="L5" s="11" t="str">
        <f t="shared" si="1"/>
        <v>لم يُقس بعد</v>
      </c>
      <c r="M5" s="9"/>
    </row>
    <row r="6" spans="1:13" ht="30" customHeight="1" x14ac:dyDescent="0.25">
      <c r="A6" s="11" t="s">
        <v>62</v>
      </c>
      <c r="B6" s="9" t="s">
        <v>154</v>
      </c>
      <c r="C6" s="8" t="s">
        <v>155</v>
      </c>
      <c r="D6" s="9" t="s">
        <v>38</v>
      </c>
      <c r="E6" s="8" t="s">
        <v>144</v>
      </c>
      <c r="F6" s="12"/>
      <c r="G6" s="13">
        <v>0.5</v>
      </c>
      <c r="H6" s="12"/>
      <c r="I6" s="11" t="str">
        <f t="shared" si="0"/>
        <v>لم يُقس بعد</v>
      </c>
      <c r="J6" s="13">
        <v>0.9</v>
      </c>
      <c r="K6" s="12"/>
      <c r="L6" s="11" t="str">
        <f t="shared" si="1"/>
        <v>لم يُقس بعد</v>
      </c>
      <c r="M6" s="9"/>
    </row>
    <row r="7" spans="1:13" ht="30" customHeight="1" x14ac:dyDescent="0.25">
      <c r="A7" s="11" t="s">
        <v>156</v>
      </c>
      <c r="B7" s="9" t="s">
        <v>157</v>
      </c>
      <c r="C7" s="8" t="s">
        <v>155</v>
      </c>
      <c r="D7" s="9" t="s">
        <v>158</v>
      </c>
      <c r="E7" s="8" t="s">
        <v>144</v>
      </c>
      <c r="F7" s="12"/>
      <c r="G7" s="13" t="str">
        <f>IF(F7="","",F7+0.15)</f>
        <v/>
      </c>
      <c r="H7" s="12"/>
      <c r="I7" s="11" t="str">
        <f t="shared" si="0"/>
        <v>—</v>
      </c>
      <c r="J7" s="13">
        <v>0.75</v>
      </c>
      <c r="K7" s="12"/>
      <c r="L7" s="11" t="str">
        <f t="shared" si="1"/>
        <v>لم يُقس بعد</v>
      </c>
      <c r="M7" s="9" t="s">
        <v>159</v>
      </c>
    </row>
    <row r="8" spans="1:13" ht="30" customHeight="1" x14ac:dyDescent="0.25">
      <c r="A8" s="11" t="s">
        <v>90</v>
      </c>
      <c r="B8" s="9" t="s">
        <v>160</v>
      </c>
      <c r="C8" s="8" t="s">
        <v>155</v>
      </c>
      <c r="D8" s="9" t="s">
        <v>161</v>
      </c>
      <c r="E8" s="8" t="s">
        <v>162</v>
      </c>
      <c r="F8" s="12"/>
      <c r="G8" s="13"/>
      <c r="H8" s="12"/>
      <c r="I8" s="11" t="str">
        <f t="shared" si="0"/>
        <v>—</v>
      </c>
      <c r="J8" s="13">
        <v>0.9</v>
      </c>
      <c r="K8" s="12"/>
      <c r="L8" s="11" t="str">
        <f t="shared" si="1"/>
        <v>لم يُقس بعد</v>
      </c>
      <c r="M8" s="9" t="s">
        <v>163</v>
      </c>
    </row>
    <row r="9" spans="1:13" ht="30" customHeight="1" x14ac:dyDescent="0.25">
      <c r="A9" s="11" t="s">
        <v>164</v>
      </c>
      <c r="B9" s="9" t="s">
        <v>165</v>
      </c>
      <c r="C9" s="8" t="s">
        <v>155</v>
      </c>
      <c r="D9" s="9" t="s">
        <v>161</v>
      </c>
      <c r="E9" s="8" t="s">
        <v>162</v>
      </c>
      <c r="F9" s="12"/>
      <c r="G9" s="13"/>
      <c r="H9" s="12"/>
      <c r="I9" s="11" t="str">
        <f t="shared" si="0"/>
        <v>—</v>
      </c>
      <c r="J9" s="13">
        <v>1</v>
      </c>
      <c r="K9" s="12"/>
      <c r="L9" s="11" t="str">
        <f t="shared" si="1"/>
        <v>لم يُقس بعد</v>
      </c>
      <c r="M9" s="9" t="s">
        <v>163</v>
      </c>
    </row>
    <row r="10" spans="1:13" ht="30" customHeight="1" x14ac:dyDescent="0.25">
      <c r="A10" s="11" t="s">
        <v>166</v>
      </c>
      <c r="B10" s="9" t="s">
        <v>167</v>
      </c>
      <c r="C10" s="8" t="s">
        <v>155</v>
      </c>
      <c r="D10" s="9" t="s">
        <v>119</v>
      </c>
      <c r="E10" s="8" t="s">
        <v>144</v>
      </c>
      <c r="F10" s="12"/>
      <c r="G10" s="13">
        <v>0.3</v>
      </c>
      <c r="H10" s="12"/>
      <c r="I10" s="11" t="str">
        <f t="shared" si="0"/>
        <v>لم يُقس بعد</v>
      </c>
      <c r="J10" s="13">
        <v>0.5</v>
      </c>
      <c r="K10" s="12"/>
      <c r="L10" s="11" t="str">
        <f t="shared" si="1"/>
        <v>لم يُقس بعد</v>
      </c>
      <c r="M10" s="9"/>
    </row>
    <row r="11" spans="1:13" ht="30" customHeight="1" x14ac:dyDescent="0.25">
      <c r="A11" s="11" t="s">
        <v>168</v>
      </c>
      <c r="B11" s="9" t="s">
        <v>169</v>
      </c>
      <c r="C11" s="8" t="s">
        <v>155</v>
      </c>
      <c r="D11" s="9" t="s">
        <v>119</v>
      </c>
      <c r="E11" s="8" t="s">
        <v>144</v>
      </c>
      <c r="F11" s="12"/>
      <c r="G11" s="13">
        <v>0.15</v>
      </c>
      <c r="H11" s="12"/>
      <c r="I11" s="11" t="str">
        <f t="shared" si="0"/>
        <v>لم يُقس بعد</v>
      </c>
      <c r="J11" s="13">
        <v>0.3</v>
      </c>
      <c r="K11" s="12"/>
      <c r="L11" s="11" t="str">
        <f t="shared" si="1"/>
        <v>لم يُقس بعد</v>
      </c>
      <c r="M11" s="9"/>
    </row>
    <row r="12" spans="1:13" ht="30" customHeight="1" x14ac:dyDescent="0.25">
      <c r="A12" s="11" t="s">
        <v>73</v>
      </c>
      <c r="B12" s="9" t="s">
        <v>170</v>
      </c>
      <c r="C12" s="8" t="s">
        <v>155</v>
      </c>
      <c r="D12" s="9" t="s">
        <v>74</v>
      </c>
      <c r="E12" s="8" t="s">
        <v>162</v>
      </c>
      <c r="F12" s="12"/>
      <c r="G12" s="13">
        <v>0.7</v>
      </c>
      <c r="H12" s="12"/>
      <c r="I12" s="11" t="str">
        <f t="shared" si="0"/>
        <v>لم يُقس بعد</v>
      </c>
      <c r="J12" s="13">
        <v>0.9</v>
      </c>
      <c r="K12" s="12"/>
      <c r="L12" s="11" t="str">
        <f t="shared" si="1"/>
        <v>لم يُقس بعد</v>
      </c>
      <c r="M12" s="9"/>
    </row>
    <row r="13" spans="1:13" ht="30" customHeight="1" x14ac:dyDescent="0.25">
      <c r="A13" s="11" t="s">
        <v>77</v>
      </c>
      <c r="B13" s="9" t="s">
        <v>171</v>
      </c>
      <c r="C13" s="8" t="s">
        <v>155</v>
      </c>
      <c r="D13" s="9" t="s">
        <v>74</v>
      </c>
      <c r="E13" s="8" t="s">
        <v>172</v>
      </c>
      <c r="F13" s="12"/>
      <c r="G13" s="13"/>
      <c r="H13" s="12"/>
      <c r="I13" s="11" t="str">
        <f t="shared" si="0"/>
        <v>—</v>
      </c>
      <c r="J13" s="13">
        <v>0.9</v>
      </c>
      <c r="K13" s="12"/>
      <c r="L13" s="11" t="str">
        <f t="shared" si="1"/>
        <v>لم يُقس بعد</v>
      </c>
      <c r="M13" s="9" t="s">
        <v>163</v>
      </c>
    </row>
    <row r="14" spans="1:13" ht="30" customHeight="1" x14ac:dyDescent="0.25">
      <c r="A14" s="11" t="s">
        <v>173</v>
      </c>
      <c r="B14" s="9" t="s">
        <v>174</v>
      </c>
      <c r="C14" s="8" t="s">
        <v>155</v>
      </c>
      <c r="D14" s="9" t="s">
        <v>74</v>
      </c>
      <c r="E14" s="8" t="s">
        <v>144</v>
      </c>
      <c r="F14" s="12"/>
      <c r="G14" s="13">
        <v>0.7</v>
      </c>
      <c r="H14" s="12"/>
      <c r="I14" s="11" t="str">
        <f t="shared" si="0"/>
        <v>لم يُقس بعد</v>
      </c>
      <c r="J14" s="13">
        <v>0.9</v>
      </c>
      <c r="K14" s="12"/>
      <c r="L14" s="11" t="str">
        <f t="shared" si="1"/>
        <v>لم يُقس بعد</v>
      </c>
      <c r="M14" s="9"/>
    </row>
    <row r="15" spans="1:13" ht="30" customHeight="1" x14ac:dyDescent="0.25">
      <c r="A15" s="11" t="s">
        <v>112</v>
      </c>
      <c r="B15" s="9" t="s">
        <v>175</v>
      </c>
      <c r="C15" s="8" t="s">
        <v>155</v>
      </c>
      <c r="D15" s="9" t="s">
        <v>113</v>
      </c>
      <c r="E15" s="8" t="s">
        <v>172</v>
      </c>
      <c r="F15" s="12"/>
      <c r="G15" s="13">
        <v>0.7</v>
      </c>
      <c r="H15" s="12"/>
      <c r="I15" s="11" t="str">
        <f t="shared" si="0"/>
        <v>لم يُقس بعد</v>
      </c>
      <c r="J15" s="13">
        <v>0.9</v>
      </c>
      <c r="K15" s="12"/>
      <c r="L15" s="11" t="str">
        <f t="shared" si="1"/>
        <v>لم يُقس بعد</v>
      </c>
      <c r="M15" s="9"/>
    </row>
    <row r="16" spans="1:13" ht="30" customHeight="1" x14ac:dyDescent="0.25">
      <c r="A16" s="11" t="s">
        <v>176</v>
      </c>
      <c r="B16" s="9" t="s">
        <v>177</v>
      </c>
      <c r="C16" s="8" t="s">
        <v>155</v>
      </c>
      <c r="D16" s="9" t="s">
        <v>178</v>
      </c>
      <c r="E16" s="8" t="s">
        <v>144</v>
      </c>
      <c r="F16" s="12"/>
      <c r="G16" s="13">
        <v>0.55000000000000004</v>
      </c>
      <c r="H16" s="12"/>
      <c r="I16" s="11" t="str">
        <f t="shared" si="0"/>
        <v>لم يُقس بعد</v>
      </c>
      <c r="J16" s="13">
        <v>0.8</v>
      </c>
      <c r="K16" s="12"/>
      <c r="L16" s="11" t="str">
        <f t="shared" si="1"/>
        <v>لم يُقس بعد</v>
      </c>
      <c r="M16" s="9"/>
    </row>
    <row r="17" spans="1:13" ht="30" customHeight="1" x14ac:dyDescent="0.25">
      <c r="A17" s="11" t="s">
        <v>49</v>
      </c>
      <c r="B17" s="9" t="s">
        <v>179</v>
      </c>
      <c r="C17" s="8" t="s">
        <v>155</v>
      </c>
      <c r="D17" s="9" t="s">
        <v>161</v>
      </c>
      <c r="E17" s="8" t="s">
        <v>162</v>
      </c>
      <c r="F17" s="12"/>
      <c r="G17" s="13">
        <v>1</v>
      </c>
      <c r="H17" s="12"/>
      <c r="I17" s="11" t="str">
        <f t="shared" si="0"/>
        <v>لم يُقس بعد</v>
      </c>
      <c r="J17" s="13">
        <v>1</v>
      </c>
      <c r="K17" s="12"/>
      <c r="L17" s="11" t="str">
        <f t="shared" si="1"/>
        <v>لم يُقس بعد</v>
      </c>
      <c r="M17" s="9"/>
    </row>
    <row r="18" spans="1:13" ht="30" customHeight="1" x14ac:dyDescent="0.25">
      <c r="A18" s="11" t="s">
        <v>180</v>
      </c>
      <c r="B18" s="9" t="s">
        <v>181</v>
      </c>
      <c r="C18" s="8" t="s">
        <v>155</v>
      </c>
      <c r="D18" s="9" t="s">
        <v>178</v>
      </c>
      <c r="E18" s="8" t="s">
        <v>144</v>
      </c>
      <c r="F18" s="12"/>
      <c r="G18" s="13">
        <v>0.7</v>
      </c>
      <c r="H18" s="12"/>
      <c r="I18" s="11" t="str">
        <f t="shared" si="0"/>
        <v>لم يُقس بعد</v>
      </c>
      <c r="J18" s="13">
        <v>0.9</v>
      </c>
      <c r="K18" s="12"/>
      <c r="L18" s="11" t="str">
        <f t="shared" si="1"/>
        <v>لم يُقس بعد</v>
      </c>
      <c r="M18" s="9"/>
    </row>
    <row r="19" spans="1:13" ht="30" customHeight="1" x14ac:dyDescent="0.25">
      <c r="A19" s="11" t="s">
        <v>182</v>
      </c>
      <c r="B19" s="9" t="s">
        <v>183</v>
      </c>
      <c r="C19" s="8" t="s">
        <v>155</v>
      </c>
      <c r="D19" s="9" t="s">
        <v>158</v>
      </c>
      <c r="E19" s="8" t="s">
        <v>144</v>
      </c>
      <c r="F19" s="12"/>
      <c r="G19" s="13">
        <v>0.55000000000000004</v>
      </c>
      <c r="H19" s="12"/>
      <c r="I19" s="11" t="str">
        <f t="shared" si="0"/>
        <v>لم يُقس بعد</v>
      </c>
      <c r="J19" s="13">
        <v>0.8</v>
      </c>
      <c r="K19" s="12"/>
      <c r="L19" s="11" t="str">
        <f t="shared" si="1"/>
        <v>لم يُقس بعد</v>
      </c>
      <c r="M19" s="9"/>
    </row>
    <row r="20" spans="1:13" ht="30" customHeight="1" x14ac:dyDescent="0.25">
      <c r="A20" s="11" t="s">
        <v>184</v>
      </c>
      <c r="B20" s="9" t="s">
        <v>185</v>
      </c>
      <c r="C20" s="8" t="s">
        <v>155</v>
      </c>
      <c r="D20" s="9" t="s">
        <v>186</v>
      </c>
      <c r="E20" s="8" t="s">
        <v>144</v>
      </c>
      <c r="F20" s="12"/>
      <c r="G20" s="13">
        <v>0.65</v>
      </c>
      <c r="H20" s="12"/>
      <c r="I20" s="11" t="str">
        <f t="shared" si="0"/>
        <v>لم يُقس بعد</v>
      </c>
      <c r="J20" s="13">
        <v>0.9</v>
      </c>
      <c r="K20" s="12"/>
      <c r="L20" s="11" t="str">
        <f t="shared" si="1"/>
        <v>لم يُقس بعد</v>
      </c>
      <c r="M20" s="9"/>
    </row>
    <row r="21" spans="1:13" ht="30" customHeight="1" x14ac:dyDescent="0.25">
      <c r="A21" s="11" t="s">
        <v>187</v>
      </c>
      <c r="B21" s="9" t="s">
        <v>188</v>
      </c>
      <c r="C21" s="8" t="s">
        <v>155</v>
      </c>
      <c r="D21" s="9" t="s">
        <v>189</v>
      </c>
      <c r="E21" s="8" t="s">
        <v>190</v>
      </c>
      <c r="F21" s="12"/>
      <c r="G21" s="13">
        <v>0.95</v>
      </c>
      <c r="H21" s="12"/>
      <c r="I21" s="11" t="str">
        <f t="shared" si="0"/>
        <v>لم يُقس بعد</v>
      </c>
      <c r="J21" s="13">
        <v>0.95</v>
      </c>
      <c r="K21" s="12"/>
      <c r="L21" s="11" t="str">
        <f t="shared" si="1"/>
        <v>لم يُقس بعد</v>
      </c>
      <c r="M21" s="9"/>
    </row>
    <row r="22" spans="1:13" ht="30" customHeight="1" x14ac:dyDescent="0.25">
      <c r="A22" s="11" t="s">
        <v>45</v>
      </c>
      <c r="B22" s="9" t="s">
        <v>191</v>
      </c>
      <c r="C22" s="8" t="s">
        <v>192</v>
      </c>
      <c r="D22" s="9" t="s">
        <v>46</v>
      </c>
      <c r="E22" s="8" t="s">
        <v>144</v>
      </c>
      <c r="F22" s="12"/>
      <c r="G22" s="13">
        <v>0.9</v>
      </c>
      <c r="H22" s="12"/>
      <c r="I22" s="11" t="str">
        <f t="shared" si="0"/>
        <v>لم يُقس بعد</v>
      </c>
      <c r="J22" s="13">
        <v>0.9</v>
      </c>
      <c r="K22" s="12"/>
      <c r="L22" s="11" t="str">
        <f t="shared" si="1"/>
        <v>لم يُقس بعد</v>
      </c>
      <c r="M22" s="9"/>
    </row>
    <row r="23" spans="1:13" ht="30" customHeight="1" x14ac:dyDescent="0.25">
      <c r="A23" s="11" t="s">
        <v>193</v>
      </c>
      <c r="B23" s="9" t="s">
        <v>194</v>
      </c>
      <c r="C23" s="8" t="s">
        <v>192</v>
      </c>
      <c r="D23" s="9" t="s">
        <v>150</v>
      </c>
      <c r="E23" s="8" t="s">
        <v>144</v>
      </c>
      <c r="F23" s="12"/>
      <c r="G23" s="13">
        <v>0.5</v>
      </c>
      <c r="H23" s="12"/>
      <c r="I23" s="11" t="str">
        <f t="shared" si="0"/>
        <v>لم يُقس بعد</v>
      </c>
      <c r="J23" s="13">
        <v>0.8</v>
      </c>
      <c r="K23" s="12"/>
      <c r="L23" s="11" t="str">
        <f t="shared" si="1"/>
        <v>لم يُقس بعد</v>
      </c>
      <c r="M23" s="9"/>
    </row>
    <row r="24" spans="1:13" ht="30" customHeight="1" x14ac:dyDescent="0.25">
      <c r="A24" s="11" t="s">
        <v>122</v>
      </c>
      <c r="B24" s="9" t="s">
        <v>195</v>
      </c>
      <c r="C24" s="8" t="s">
        <v>196</v>
      </c>
      <c r="D24" s="9" t="s">
        <v>197</v>
      </c>
      <c r="E24" s="8" t="s">
        <v>144</v>
      </c>
      <c r="F24" s="12"/>
      <c r="G24" s="13">
        <v>0.4</v>
      </c>
      <c r="H24" s="12"/>
      <c r="I24" s="11" t="str">
        <f t="shared" si="0"/>
        <v>لم يُقس بعد</v>
      </c>
      <c r="J24" s="13">
        <v>0.6</v>
      </c>
      <c r="K24" s="12"/>
      <c r="L24" s="11" t="str">
        <f t="shared" si="1"/>
        <v>لم يُقس بعد</v>
      </c>
      <c r="M24" s="9"/>
    </row>
    <row r="25" spans="1:13" ht="30" customHeight="1" x14ac:dyDescent="0.25">
      <c r="A25" s="11" t="s">
        <v>101</v>
      </c>
      <c r="B25" s="9" t="s">
        <v>198</v>
      </c>
      <c r="C25" s="8" t="s">
        <v>196</v>
      </c>
      <c r="D25" s="9" t="s">
        <v>197</v>
      </c>
      <c r="E25" s="8" t="s">
        <v>144</v>
      </c>
      <c r="F25" s="12"/>
      <c r="G25" s="13">
        <v>0.5</v>
      </c>
      <c r="H25" s="12"/>
      <c r="I25" s="11" t="str">
        <f t="shared" si="0"/>
        <v>لم يُقس بعد</v>
      </c>
      <c r="J25" s="13">
        <v>0.8</v>
      </c>
      <c r="K25" s="12"/>
      <c r="L25" s="11" t="str">
        <f t="shared" si="1"/>
        <v>لم يُقس بعد</v>
      </c>
      <c r="M25" s="9"/>
    </row>
    <row r="26" spans="1:13" ht="30" customHeight="1" x14ac:dyDescent="0.25">
      <c r="A26" s="11" t="s">
        <v>53</v>
      </c>
      <c r="B26" s="9" t="s">
        <v>199</v>
      </c>
      <c r="C26" s="8" t="s">
        <v>200</v>
      </c>
      <c r="D26" s="9" t="s">
        <v>54</v>
      </c>
      <c r="E26" s="8" t="s">
        <v>162</v>
      </c>
      <c r="F26" s="14"/>
      <c r="G26" s="15">
        <v>1</v>
      </c>
      <c r="H26" s="14"/>
      <c r="I26" s="11" t="str">
        <f t="shared" si="0"/>
        <v>لم يُقس بعد</v>
      </c>
      <c r="J26" s="15">
        <v>1</v>
      </c>
      <c r="K26" s="14"/>
      <c r="L26" s="11" t="str">
        <f t="shared" si="1"/>
        <v>لم يُقس بعد</v>
      </c>
      <c r="M26" s="9"/>
    </row>
    <row r="27" spans="1:13" ht="30" customHeight="1" x14ac:dyDescent="0.25">
      <c r="A27" s="11" t="s">
        <v>201</v>
      </c>
      <c r="B27" s="9" t="s">
        <v>202</v>
      </c>
      <c r="C27" s="8" t="s">
        <v>200</v>
      </c>
      <c r="D27" s="9" t="s">
        <v>54</v>
      </c>
      <c r="E27" s="8" t="s">
        <v>144</v>
      </c>
      <c r="F27" s="14"/>
      <c r="G27" s="15">
        <v>1</v>
      </c>
      <c r="H27" s="14"/>
      <c r="I27" s="11" t="str">
        <f t="shared" si="0"/>
        <v>لم يُقس بعد</v>
      </c>
      <c r="J27" s="15">
        <v>2</v>
      </c>
      <c r="K27" s="14"/>
      <c r="L27" s="11" t="str">
        <f t="shared" si="1"/>
        <v>لم يُقس بعد</v>
      </c>
      <c r="M27" s="9"/>
    </row>
  </sheetData>
  <conditionalFormatting sqref="I2:I27">
    <cfRule type="cellIs" dxfId="17" priority="2" operator="equal">
      <formula>"محقق"</formula>
    </cfRule>
    <cfRule type="cellIs" dxfId="16" priority="3" operator="equal">
      <formula>"منجز"</formula>
    </cfRule>
    <cfRule type="cellIs" dxfId="15" priority="4" operator="equal">
      <formula>"جارٍ"</formula>
    </cfRule>
    <cfRule type="cellIs" dxfId="14" priority="5" operator="equal">
      <formula>"انحراف"</formula>
    </cfRule>
    <cfRule type="cellIs" dxfId="13" priority="6" operator="equal">
      <formula>"انحراف حرج"</formula>
    </cfRule>
    <cfRule type="cellIs" dxfId="12" priority="7" operator="equal">
      <formula>"متأخر"</formula>
    </cfRule>
  </conditionalFormatting>
  <conditionalFormatting sqref="L2:L27">
    <cfRule type="cellIs" dxfId="11" priority="8" operator="equal">
      <formula>"محقق"</formula>
    </cfRule>
    <cfRule type="cellIs" dxfId="10" priority="9" operator="equal">
      <formula>"منجز"</formula>
    </cfRule>
    <cfRule type="cellIs" dxfId="9" priority="10" operator="equal">
      <formula>"جارٍ"</formula>
    </cfRule>
    <cfRule type="cellIs" dxfId="8" priority="11" operator="equal">
      <formula>"انحراف"</formula>
    </cfRule>
    <cfRule type="cellIs" dxfId="7" priority="12" operator="equal">
      <formula>"انحراف حرج"</formula>
    </cfRule>
    <cfRule type="cellIs" dxfId="6" priority="13" operator="equal">
      <formula>"متأخر"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rightToLeft="1" zoomScaleNormal="100" workbookViewId="0">
      <pane ySplit="1" topLeftCell="A2" activePane="bottomLeft" state="frozen"/>
      <selection pane="bottomLeft" activeCell="C18" sqref="C18"/>
    </sheetView>
  </sheetViews>
  <sheetFormatPr defaultColWidth="8.7109375" defaultRowHeight="16.5" x14ac:dyDescent="0.35"/>
  <cols>
    <col min="1" max="1" width="5" style="2" customWidth="1"/>
    <col min="2" max="2" width="42" style="2" customWidth="1"/>
    <col min="3" max="4" width="22" style="2" customWidth="1"/>
    <col min="5" max="5" width="13" style="2" customWidth="1"/>
    <col min="6" max="6" width="45" style="2" customWidth="1"/>
    <col min="7" max="16384" width="8.7109375" style="2"/>
  </cols>
  <sheetData>
    <row r="1" spans="1:6" ht="27.75" customHeight="1" x14ac:dyDescent="0.35">
      <c r="A1" s="3" t="s">
        <v>19</v>
      </c>
      <c r="B1" s="3" t="s">
        <v>203</v>
      </c>
      <c r="C1" s="3" t="s">
        <v>131</v>
      </c>
      <c r="D1" s="3" t="s">
        <v>204</v>
      </c>
      <c r="E1" s="3" t="s">
        <v>25</v>
      </c>
      <c r="F1" s="3" t="s">
        <v>26</v>
      </c>
    </row>
    <row r="2" spans="1:6" ht="27.75" customHeight="1" x14ac:dyDescent="0.35">
      <c r="A2" s="8">
        <v>1</v>
      </c>
      <c r="B2" s="9" t="s">
        <v>205</v>
      </c>
      <c r="C2" s="9" t="s">
        <v>206</v>
      </c>
      <c r="D2" s="8" t="s">
        <v>207</v>
      </c>
      <c r="E2" s="10" t="s">
        <v>2</v>
      </c>
      <c r="F2" s="9" t="s">
        <v>208</v>
      </c>
    </row>
    <row r="3" spans="1:6" ht="27.75" customHeight="1" x14ac:dyDescent="0.35">
      <c r="A3" s="8">
        <v>2</v>
      </c>
      <c r="B3" s="9" t="s">
        <v>209</v>
      </c>
      <c r="C3" s="9" t="s">
        <v>206</v>
      </c>
      <c r="D3" s="8" t="s">
        <v>207</v>
      </c>
      <c r="E3" s="10" t="s">
        <v>2</v>
      </c>
      <c r="F3" s="9" t="s">
        <v>208</v>
      </c>
    </row>
    <row r="4" spans="1:6" ht="27.75" customHeight="1" x14ac:dyDescent="0.35">
      <c r="A4" s="8">
        <v>3</v>
      </c>
      <c r="B4" s="9" t="s">
        <v>210</v>
      </c>
      <c r="C4" s="9" t="s">
        <v>178</v>
      </c>
      <c r="D4" s="8" t="s">
        <v>207</v>
      </c>
      <c r="E4" s="10" t="s">
        <v>2</v>
      </c>
      <c r="F4" s="9" t="s">
        <v>208</v>
      </c>
    </row>
    <row r="5" spans="1:6" ht="27.75" customHeight="1" x14ac:dyDescent="0.35">
      <c r="A5" s="8">
        <v>4</v>
      </c>
      <c r="B5" s="9" t="s">
        <v>211</v>
      </c>
      <c r="C5" s="9" t="s">
        <v>42</v>
      </c>
      <c r="D5" s="8" t="s">
        <v>207</v>
      </c>
      <c r="E5" s="10" t="s">
        <v>2</v>
      </c>
      <c r="F5" s="9" t="s">
        <v>208</v>
      </c>
    </row>
    <row r="6" spans="1:6" ht="27.75" customHeight="1" x14ac:dyDescent="0.35">
      <c r="A6" s="8">
        <v>5</v>
      </c>
      <c r="B6" s="9" t="s">
        <v>212</v>
      </c>
      <c r="C6" s="9" t="s">
        <v>38</v>
      </c>
      <c r="D6" s="8" t="s">
        <v>207</v>
      </c>
      <c r="E6" s="10" t="s">
        <v>2</v>
      </c>
      <c r="F6" s="9" t="s">
        <v>208</v>
      </c>
    </row>
    <row r="7" spans="1:6" ht="27.75" customHeight="1" x14ac:dyDescent="0.35">
      <c r="A7" s="8">
        <v>6</v>
      </c>
      <c r="B7" s="9" t="s">
        <v>213</v>
      </c>
      <c r="C7" s="9" t="s">
        <v>42</v>
      </c>
      <c r="D7" s="8" t="s">
        <v>214</v>
      </c>
      <c r="E7" s="10" t="s">
        <v>4</v>
      </c>
      <c r="F7" s="9" t="s">
        <v>215</v>
      </c>
    </row>
    <row r="8" spans="1:6" ht="27.75" customHeight="1" x14ac:dyDescent="0.35">
      <c r="A8" s="8">
        <v>7</v>
      </c>
      <c r="B8" s="9" t="s">
        <v>216</v>
      </c>
      <c r="C8" s="9" t="s">
        <v>42</v>
      </c>
      <c r="D8" s="8" t="s">
        <v>217</v>
      </c>
      <c r="E8" s="10" t="s">
        <v>4</v>
      </c>
      <c r="F8" s="9" t="s">
        <v>215</v>
      </c>
    </row>
    <row r="9" spans="1:6" ht="27.75" customHeight="1" x14ac:dyDescent="0.35">
      <c r="A9" s="8">
        <v>8</v>
      </c>
      <c r="B9" s="9" t="s">
        <v>218</v>
      </c>
      <c r="C9" s="9" t="s">
        <v>38</v>
      </c>
      <c r="D9" s="8" t="s">
        <v>219</v>
      </c>
      <c r="E9" s="10" t="s">
        <v>2</v>
      </c>
      <c r="F9" s="9" t="s">
        <v>220</v>
      </c>
    </row>
  </sheetData>
  <conditionalFormatting sqref="E2:E9">
    <cfRule type="cellIs" dxfId="5" priority="2" operator="equal">
      <formula>"محقق"</formula>
    </cfRule>
    <cfRule type="cellIs" dxfId="4" priority="3" operator="equal">
      <formula>"منجز"</formula>
    </cfRule>
    <cfRule type="cellIs" dxfId="3" priority="4" operator="equal">
      <formula>"جارٍ"</formula>
    </cfRule>
    <cfRule type="cellIs" dxfId="2" priority="5" operator="equal">
      <formula>"انحراف"</formula>
    </cfRule>
    <cfRule type="cellIs" dxfId="1" priority="6" operator="equal">
      <formula>"انحراف حرج"</formula>
    </cfRule>
    <cfRule type="cellIs" dxfId="0" priority="7" operator="equal">
      <formula>"متأخر"</formula>
    </cfRule>
  </conditionalFormatting>
  <dataValidations count="1">
    <dataValidation type="list" allowBlank="1" sqref="E2:E9" xr:uid="{00000000-0002-0000-0300-000000000000}">
      <formula1>"لم يبدأ,جارٍ,منجز,متأخر"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rightToLeft="1" zoomScaleNormal="100" workbookViewId="0">
      <pane ySplit="1" topLeftCell="A2" activePane="bottomLeft" state="frozen"/>
      <selection pane="bottomLeft" activeCell="D15" sqref="D15"/>
    </sheetView>
  </sheetViews>
  <sheetFormatPr defaultColWidth="8.7109375" defaultRowHeight="16.5" x14ac:dyDescent="0.35"/>
  <cols>
    <col min="1" max="1" width="7" style="2" customWidth="1"/>
    <col min="2" max="2" width="32" style="2" customWidth="1"/>
    <col min="3" max="3" width="10" style="2" customWidth="1"/>
    <col min="4" max="4" width="48" style="2" customWidth="1"/>
    <col min="5" max="5" width="20" style="2" customWidth="1"/>
    <col min="6" max="6" width="14" style="2" customWidth="1"/>
    <col min="7" max="7" width="13" style="2" customWidth="1"/>
    <col min="8" max="16384" width="8.7109375" style="2"/>
  </cols>
  <sheetData>
    <row r="1" spans="1:7" ht="27.75" customHeight="1" x14ac:dyDescent="0.35">
      <c r="A1" s="3" t="s">
        <v>128</v>
      </c>
      <c r="B1" s="3" t="s">
        <v>221</v>
      </c>
      <c r="C1" s="3" t="s">
        <v>222</v>
      </c>
      <c r="D1" s="3" t="s">
        <v>223</v>
      </c>
      <c r="E1" s="3" t="s">
        <v>131</v>
      </c>
      <c r="F1" s="3" t="s">
        <v>25</v>
      </c>
      <c r="G1" s="3" t="s">
        <v>224</v>
      </c>
    </row>
    <row r="2" spans="1:7" ht="30" customHeight="1" x14ac:dyDescent="0.35">
      <c r="A2" s="11" t="s">
        <v>225</v>
      </c>
      <c r="B2" s="9" t="s">
        <v>226</v>
      </c>
      <c r="C2" s="16" t="s">
        <v>227</v>
      </c>
      <c r="D2" s="9" t="s">
        <v>228</v>
      </c>
      <c r="E2" s="9" t="s">
        <v>46</v>
      </c>
      <c r="F2" s="10" t="s">
        <v>14</v>
      </c>
      <c r="G2" s="17"/>
    </row>
    <row r="3" spans="1:7" ht="30" customHeight="1" x14ac:dyDescent="0.35">
      <c r="A3" s="11" t="s">
        <v>34</v>
      </c>
      <c r="B3" s="9" t="s">
        <v>229</v>
      </c>
      <c r="C3" s="16" t="s">
        <v>227</v>
      </c>
      <c r="D3" s="9" t="s">
        <v>230</v>
      </c>
      <c r="E3" s="9" t="s">
        <v>30</v>
      </c>
      <c r="F3" s="10" t="s">
        <v>14</v>
      </c>
      <c r="G3" s="17"/>
    </row>
    <row r="4" spans="1:7" ht="30" customHeight="1" x14ac:dyDescent="0.35">
      <c r="A4" s="11" t="s">
        <v>231</v>
      </c>
      <c r="B4" s="9" t="s">
        <v>232</v>
      </c>
      <c r="C4" s="16" t="s">
        <v>227</v>
      </c>
      <c r="D4" s="9" t="s">
        <v>233</v>
      </c>
      <c r="E4" s="9" t="s">
        <v>42</v>
      </c>
      <c r="F4" s="10" t="s">
        <v>14</v>
      </c>
      <c r="G4" s="17"/>
    </row>
    <row r="5" spans="1:7" ht="30" customHeight="1" x14ac:dyDescent="0.35">
      <c r="A5" s="11" t="s">
        <v>234</v>
      </c>
      <c r="B5" s="9" t="s">
        <v>235</v>
      </c>
      <c r="C5" s="16" t="s">
        <v>227</v>
      </c>
      <c r="D5" s="9" t="s">
        <v>236</v>
      </c>
      <c r="E5" s="9" t="s">
        <v>38</v>
      </c>
      <c r="F5" s="10" t="s">
        <v>14</v>
      </c>
      <c r="G5" s="17"/>
    </row>
    <row r="6" spans="1:7" ht="30" customHeight="1" x14ac:dyDescent="0.35">
      <c r="A6" s="11" t="s">
        <v>237</v>
      </c>
      <c r="B6" s="9" t="s">
        <v>238</v>
      </c>
      <c r="C6" s="11" t="s">
        <v>239</v>
      </c>
      <c r="D6" s="9" t="s">
        <v>240</v>
      </c>
      <c r="E6" s="9" t="s">
        <v>206</v>
      </c>
      <c r="F6" s="10" t="s">
        <v>14</v>
      </c>
      <c r="G6" s="17"/>
    </row>
    <row r="7" spans="1:7" ht="30" customHeight="1" x14ac:dyDescent="0.35">
      <c r="A7" s="11" t="s">
        <v>241</v>
      </c>
      <c r="B7" s="9" t="s">
        <v>242</v>
      </c>
      <c r="C7" s="11" t="s">
        <v>239</v>
      </c>
      <c r="D7" s="9" t="s">
        <v>243</v>
      </c>
      <c r="E7" s="9" t="s">
        <v>30</v>
      </c>
      <c r="F7" s="10" t="s">
        <v>14</v>
      </c>
      <c r="G7" s="17"/>
    </row>
    <row r="8" spans="1:7" ht="30" customHeight="1" x14ac:dyDescent="0.35">
      <c r="A8" s="11" t="s">
        <v>244</v>
      </c>
      <c r="B8" s="9" t="s">
        <v>245</v>
      </c>
      <c r="C8" s="11" t="s">
        <v>239</v>
      </c>
      <c r="D8" s="9" t="s">
        <v>246</v>
      </c>
      <c r="E8" s="9" t="s">
        <v>197</v>
      </c>
      <c r="F8" s="10" t="s">
        <v>14</v>
      </c>
      <c r="G8" s="17"/>
    </row>
    <row r="9" spans="1:7" ht="30" customHeight="1" x14ac:dyDescent="0.35">
      <c r="A9" s="11" t="s">
        <v>247</v>
      </c>
      <c r="B9" s="9" t="s">
        <v>248</v>
      </c>
      <c r="C9" s="11" t="s">
        <v>239</v>
      </c>
      <c r="D9" s="9" t="s">
        <v>249</v>
      </c>
      <c r="E9" s="9" t="s">
        <v>54</v>
      </c>
      <c r="F9" s="10" t="s">
        <v>14</v>
      </c>
      <c r="G9" s="17"/>
    </row>
  </sheetData>
  <dataValidations count="1">
    <dataValidation type="list" allowBlank="1" sqref="F2:F9" xr:uid="{00000000-0002-0000-0400-000000000000}">
      <formula1>"مفتوح,تحت السيطرة,مغلق"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لوحة المتابعة</vt:lpstr>
      <vt:lpstr>الأنشطة</vt:lpstr>
      <vt:lpstr>المؤشرات</vt:lpstr>
      <vt:lpstr>التبعيات الحرجة</vt:lpstr>
      <vt:lpstr>المخاطر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عبدالرحمن رضا</cp:lastModifiedBy>
  <cp:revision>0</cp:revision>
  <dcterms:created xsi:type="dcterms:W3CDTF">2026-08-04T00:10:37Z</dcterms:created>
  <dcterms:modified xsi:type="dcterms:W3CDTF">2026-08-04T02:34:04Z</dcterms:modified>
  <dc:language>en-US</dc:language>
</cp:coreProperties>
</file>